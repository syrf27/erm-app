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5440"/>
  </bookViews>
  <sheets>
    <sheet name="Checklist Penguji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<sst xmlns="http://schemas.openxmlformats.org/spreadsheetml/2006/main" count="200" uniqueCount="122">
  <si>
    <t>Alpha Testing Gojags Risk</t>
  </si>
  <si>
    <t>Nama Tester</t>
  </si>
  <si>
    <t/>
  </si>
  <si>
    <t>Tanggal Pengujian</t>
  </si>
  <si>
    <t>Pilih Berhasil atau Gagal pada setiap skenario. Jika Gagal, jelaskan kendalanya secara singkat pada kolom Keterangan.</t>
  </si>
  <si>
    <t>Total Skenario</t>
  </si>
  <si>
    <t>Berhasil</t>
  </si>
  <si>
    <t>Gagal</t>
  </si>
  <si>
    <t>Belum Diisi</t>
  </si>
  <si>
    <t>No.</t>
  </si>
  <si>
    <t>Modul</t>
  </si>
  <si>
    <t>Hal yang Perlu Dicek</t>
  </si>
  <si>
    <t>Langkah Pengujian</t>
  </si>
  <si>
    <t>Hasil yang Diharapkan</t>
  </si>
  <si>
    <t>Status</t>
  </si>
  <si>
    <t>Keterangan</t>
  </si>
  <si>
    <t>Autentikasi</t>
  </si>
  <si>
    <t>Pengguna dapat masuk dan hanya dapat membuka aplikasi setelah berhasil login</t>
  </si>
  <si>
    <t>Buka salah satu halaman aplikasi tanpa login. Pastikan pengguna diarahkan ke halaman login, lalu masuk menggunakan akun GOJAGS yang aktif.</t>
  </si>
  <si>
    <t>Data aplikasi tidak terlihat sebelum login. Setelah login berhasil, Dashboard terbuka dan nama serta email akun tampil dengan benar.</t>
  </si>
  <si>
    <t>Logout benar-benar mengakhiri sesi pengguna</t>
  </si>
  <si>
    <t>Klik Logout dan konfirmasi. Gunakan tombol kembali browser atau buka kembali halaman aplikasi secara langsung.</t>
  </si>
  <si>
    <t>Pengguna kembali ke halaman login dan halaman aplikasi tidak dapat dibuka menggunakan sesi yang sudah berakhir.</t>
  </si>
  <si>
    <t>Hak Akses</t>
  </si>
  <si>
    <t>Menu dan tindakan yang tersedia sesuai dengan hak akses pengguna</t>
  </si>
  <si>
    <t>Login sebagai Admin, lalu catat menu dan tindakan yang tersedia. Ulangi menggunakan akun pengguna biasa dan coba membuka halaman administrasi secara langsung.</t>
  </si>
  <si>
    <t>Admin memperoleh akses sesuai kewenangannya. Pengguna biasa tidak melihat atau membuka menu dan tindakan yang tidak diizinkan.</t>
  </si>
  <si>
    <t>Navigasi</t>
  </si>
  <si>
    <t>Navigasi menu utama, submenu, dan drawer berfungsi pada desktop dan ponsel</t>
  </si>
  <si>
    <t>Buka beberapa menu dan submenu pada desktop. Ulangi pada ukuran layar ponsel menggunakan menu hamburger.</t>
  </si>
  <si>
    <t>Menu aktif memiliki penanda, induk submenu ikut aktif, drawer dapat digulir, dan menu menutup setelah pengguna berpindah halaman.</t>
  </si>
  <si>
    <t>Tampilan</t>
  </si>
  <si>
    <t>Komponen halaman menyesuaikan ukuran layar dan seluruh fungsi tetap dapat diakses</t>
  </si>
  <si>
    <t>Periksa Dashboard, Penetapan Konteks, tabel risiko, Repositori Dokumen, modal, dan pagination pada ukuran ponsel, tablet, dan desktop.</t>
  </si>
  <si>
    <t>Tidak ada tombol atau informasi penting yang terpotong. Halaman tidak bergulir horizontal dan tabel lebar memiliki area gulir sendiri.</t>
  </si>
  <si>
    <t>Teks dan seluruh komponen tetap terbaca pada tema terang dan gelap</t>
  </si>
  <si>
    <t>Buka halaman yang memiliki tabel, formulir, badge, modal, dan kolom Risiko Terkait. Periksa pada tema terang dan gelap.</t>
  </si>
  <si>
    <t>Teks, ikon, input, garis, badge, tombol, dan modal memiliki kontras yang jelas pada kedua tema.</t>
  </si>
  <si>
    <t>Periode Data</t>
  </si>
  <si>
    <t>Data yang ditampilkan mengikuti periode tahun yang dipilih</t>
  </si>
  <si>
    <t>Pilih periode tahun pertama dan catat data yang tampil. Ubah ke periode lain, lalu buka Dashboard dan halaman manajemen risiko.</t>
  </si>
  <si>
    <t>Label periode dan data berubah sesuai tahun yang dipilih tanpa mencampur data dari periode lain.</t>
  </si>
  <si>
    <t>Dashboard</t>
  </si>
  <si>
    <t>Dashboard menampilkan ringkasan yang benar dan tetap informatif saat tidak ada data</t>
  </si>
  <si>
    <t>Buka Dashboard pada periode yang memiliki data, lalu bandingkan beberapa angka dengan data sumber. Ulangi pada periode tanpa data.</t>
  </si>
  <si>
    <t>Ringkasan dan grafik sesuai dengan data sumber. Periode kosong menampilkan nilai nol atau pesan yang jelas tanpa error.</t>
  </si>
  <si>
    <t>Penetapan Konteks</t>
  </si>
  <si>
    <t>Data referensi dapat ditambah, diubah, dan dihapus serta langsung diperbarui</t>
  </si>
  <si>
    <t>Tambahkan satu data uji, ubah nilainya, lalu muat ulang halaman. Hapus data tersebut setelah selesai dan periksa pilihan pada halaman risiko.</t>
  </si>
  <si>
    <t>Setiap perubahan langsung tampil, tetap tersimpan setelah halaman dimuat ulang, dan tersedia pada pilihan di modul terkait.</t>
  </si>
  <si>
    <t>Data referensi yang tidak lengkap atau masih digunakan tidak diproses secara keliru</t>
  </si>
  <si>
    <t>Coba simpan data dengan informasi wajib yang kosong. Coba juga menghapus data referensi yang masih digunakan oleh data risiko.</t>
  </si>
  <si>
    <t>Aplikasi menolak tindakan tersebut dan menjelaskan informasi yang perlu diperbaiki atau alasan data tidak dapat dihapus.</t>
  </si>
  <si>
    <t>Identifikasi Risiko</t>
  </si>
  <si>
    <t>Risiko dapat ditambahkan, diperbarui, dan tetap lengkap setelah disimpan</t>
  </si>
  <si>
    <t>Tambahkan risiko baru dan isi kolom secara berurutan. Simpan, lalu ubah salah satu kolom awal pada baris tersebut dan simpan kembali.</t>
  </si>
  <si>
    <t>Risiko tersimpan pada periode yang benar. Saat baris lama diedit, nilai pada kolom berikutnya tidak terhapus dan seluruh data tetap ada setelah halaman dimuat ulang.</t>
  </si>
  <si>
    <t>Risiko yang belum lengkap tidak dapat disimpan sebagai data selesai</t>
  </si>
  <si>
    <t>Tambahkan baris baru dan biarkan satu atau beberapa informasi wajib kosong, lalu klik Simpan Semua.</t>
  </si>
  <si>
    <t>Data tidak lengkap tidak tersimpan dan pengguna mendapat penjelasan yang jelas mengenai bagian yang harus diisi.</t>
  </si>
  <si>
    <t>Risiko dapat ditambahkan melalui Bank Risiko atau import Excel</t>
  </si>
  <si>
    <t>Ambil satu referensi dari Bank Risiko dan simpan. Unduh template Excel, isi data sesuai format, lalu lakukan import. Coba juga satu file dengan format yang salah.</t>
  </si>
  <si>
    <t>Data valid masuk tanpa duplikasi yang tidak disengaja. File yang salah ditolak dengan penjelasan yang mudah dipahami.</t>
  </si>
  <si>
    <t>Analisis Risiko</t>
  </si>
  <si>
    <t>Penilaian risiko inheren dihitung dan tersimpan dengan benar</t>
  </si>
  <si>
    <t>Pilih kemungkinan dan dampak pada risiko uji, periksa hasil perhitungan, lalu simpan. Ubah salah satu nilai pada baris yang sudah tersimpan.</t>
  </si>
  <si>
    <t>Level dan besaran risiko mengikuti pilihan terbaru, tersimpan pada risiko yang benar, dan data lanjutan yang diisi pengguna tidak ikut terhapus.</t>
  </si>
  <si>
    <t>Evaluasi Risiko</t>
  </si>
  <si>
    <t>Risiko residual dan respons risiko dapat ditentukan serta tersimpan</t>
  </si>
  <si>
    <t>Isi kemungkinan dan dampak residual, pilih respons risiko, lengkapi informasi yang diminta, lalu simpan dan muat ulang halaman.</t>
  </si>
  <si>
    <t>Nilai residual dihitung dengan benar, respons tersimpan, dan hanya informasi yang relevan yang diwajibkan.</t>
  </si>
  <si>
    <t>Rencana Penanganan</t>
  </si>
  <si>
    <t>Risiko yang perlu dikurangi dapat dibuatkan rencana penanganan</t>
  </si>
  <si>
    <t>Pastikan risiko dengan respons Mengurangi muncul pada halaman Rencana Penanganan. Isi rencana, target, waktu, penanggung jawab, dan nilai residual harapan, lalu simpan.</t>
  </si>
  <si>
    <t>Hanya risiko yang sesuai yang tampil. Rencana lengkap tersimpan, sedangkan data yang belum lengkap atau waktunya tidak valid ditolak dengan penjelasan yang jelas.</t>
  </si>
  <si>
    <t>Matriks Risiko</t>
  </si>
  <si>
    <t>Matriks menunjukkan posisi dan perubahan tingkat risiko dengan benar</t>
  </si>
  <si>
    <t>Pilih satu atau beberapa risiko dan bandingkan posisi inheren serta residualnya dengan nilai pada halaman analisis dan evaluasi.</t>
  </si>
  <si>
    <t>Posisi risiko sesuai dengan kemungkinan dan dampak. Perubahan dari risiko inheren ke residual mudah dibedakan.</t>
  </si>
  <si>
    <t>Pemantauan Risiko</t>
  </si>
  <si>
    <t>Realisasi penanganan dapat diperbarui dan daftar pemantauan berpindah halaman dengan benar</t>
  </si>
  <si>
    <t>Cari rencana penanganan, isi realisasi, lalu simpan dan buka kembali. Jika data lebih dari satu halaman, gunakan pagination dan ubah jumlah data per halaman.</t>
  </si>
  <si>
    <t>Realisasi terbaru tersimpan dan tampil kembali. Isi daftar benar-benar berubah sesuai halaman dan kontrol tidak tertutup tombol bantuan.</t>
  </si>
  <si>
    <t>Bukti pendukung dapat ditambahkan dan otomatis tersedia di Repositori Dokumen</t>
  </si>
  <si>
    <t>Tambahkan satu tautan dan satu file PDF sebagai bukti realisasi. Simpan, lalu buka kategori Bukti Dukung Mitigasi pada Repositori Dokumen.</t>
  </si>
  <si>
    <t>Tautan dan file dapat dibuka serta tercatat pada risiko dan tahun yang benar di Repositori Dokumen.</t>
  </si>
  <si>
    <t>Pelaporan Risiko</t>
  </si>
  <si>
    <t>Laporan menampilkan rangkaian data risiko dan status persetujuan secara konsisten</t>
  </si>
  <si>
    <t>Buka satu risiko pada Pelaporan, bandingkan isinya dengan data identifikasi sampai pemantauan, lalu ubah status persetujuan dan nama pemberi persetujuan.</t>
  </si>
  <si>
    <t>Seluruh tahap risiko tampil konsisten dan perubahan status persetujuan tetap tersimpan setelah halaman dimuat ulang.</t>
  </si>
  <si>
    <t>Laporan dapat diunduh ke Excel dan pagination menampilkan data yang benar</t>
  </si>
  <si>
    <t>Pindah halaman dan ubah jumlah data per halaman. Unduh laporan Excel untuk periode aktif, lalu buka file hasil unduhan.</t>
  </si>
  <si>
    <t>Daftar berubah sesuai halaman dan file Excel dapat dibuka dengan data, periode, serta susunan kolom yang benar.</t>
  </si>
  <si>
    <t>Bank Risiko</t>
  </si>
  <si>
    <t>Bank Risiko menampilkan referensi yang sesuai dengan kata kunci</t>
  </si>
  <si>
    <t>Cari menggunakan kata kunci yang memiliki hasil, lalu ulangi dengan kata kunci yang tidak memiliki hasil.</t>
  </si>
  <si>
    <t>Hasil yang relevan tampil dengan informasi yang cukup. Jika tidak ditemukan, aplikasi menampilkan pesan yang jelas tanpa error.</t>
  </si>
  <si>
    <t>Repositori Dokumen</t>
  </si>
  <si>
    <t>Dokumen dapat ditambahkan melalui upload atau tautan ke kategori dan tahun yang benar</t>
  </si>
  <si>
    <t>Tambahkan satu PDF dan satu tautan dengan kategori serta tahun risiko tertentu. Buka dokumen dan periksa filter kategorinya.</t>
  </si>
  <si>
    <t>Kedua dokumen tersimpan, dapat dibuka dengan aman, dan muncul pada kategori serta tahun yang dipilih.</t>
  </si>
  <si>
    <t>Informasi dokumen dapat diperbarui dan dokumen hanya terhapus setelah konfirmasi</t>
  </si>
  <si>
    <t>Ubah judul atau kategori dokumen, lalu muat ulang. Coba hapus dan batalkan konfirmasi, kemudian ulangi dengan memberikan konfirmasi.</t>
  </si>
  <si>
    <t>Perubahan tersimpan tanpa kehilangan file. Pembatalan tidak menghapus data dan konfirmasi menghapus dokumen dari daftar.</t>
  </si>
  <si>
    <t>Pencarian cerdas dan ringkasan dokumen memberikan hasil yang relevan</t>
  </si>
  <si>
    <t>Cari dokumen menggunakan kata kunci dan tahun risiko. Pilih salah satu hasil, baca alasan rekomendasi, lalu buat dan buka kembali ringkasannya.</t>
  </si>
  <si>
    <t>Hasil sesuai kata kunci dan tahun. Alasan rekomendasi jelas dan ringkasan sesuai isi dokumen serta dapat dibuka kembali.</t>
  </si>
  <si>
    <t>Daftar dokumen tetap mudah digunakan saat datanya banyak dan pada layar ponsel</t>
  </si>
  <si>
    <t>Dengan lebih dari sepuluh dokumen, pindah halaman dan ubah jumlah data per halaman. Ulangi pada ukuran layar ponsel.</t>
  </si>
  <si>
    <t>Isi daftar benar-benar berubah, nomor urut dan total benar, kontrol tidak tertutup, serta hanya area tabel yang bergulir horizontal bila diperlukan.</t>
  </si>
  <si>
    <t>FAQ dan Bantuan</t>
  </si>
  <si>
    <t>Pengguna dapat menemukan bantuan dan memperoleh jawaban yang sesuai</t>
  </si>
  <si>
    <t>Cari satu topik pada halaman FAQ, buka jawabannya, lalu ajukan pertanyaan yang sama melalui chat bantuan. Jika menggunakan akun Admin, coba kelola satu FAQ uji.</t>
  </si>
  <si>
    <t>Jawaban mudah ditemukan dan chat memberikan jawaban yang relevan. Perubahan FAQ oleh Admin langsung tercermin pada daftar.</t>
  </si>
  <si>
    <t>Penanganan Gangguan</t>
  </si>
  <si>
    <t>Aplikasi tetap memberikan informasi yang jelas ketika jaringan atau server bermasalah</t>
  </si>
  <si>
    <t>Simulasikan koneksi terputus saat membuka halaman dan saat menyimpan data. Setelah koneksi kembali, coba ulangi tindakan tersebut.</t>
  </si>
  <si>
    <t>Aplikasi tidak kosong atau crash, tidak menyatakan berhasil secara keliru, menampilkan pesan yang mudah dipahami, dan memungkinkan pengguna mencoba kembali.</t>
  </si>
  <si>
    <t>Keamanan Input</t>
  </si>
  <si>
    <t>Teks atau tautan berbahaya tidak dijalankan oleh aplikasi</t>
  </si>
  <si>
    <t>Masukkan teks HTML atau script sederhana pada kolom teks dan tautan yang tidak aman pada kolom URL, lalu simpan dan tampilkan kembali.</t>
  </si>
  <si>
    <t>Input berbahaya ditolak atau ditampilkan sebagai teks biasa. Script tidak berjalan dan tautan yang tidak aman tidak dapat digunakan.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</si>
</sst>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 mmm\ yyyy"/>
  </numFmts>
  <fonts count="31">
    <font>
      <sz val="11"/>
      <name val="Carlito"/>
      <charset val="134"/>
    </font>
    <font>
      <b/>
      <sz val="16"/>
      <color rgb="FF102A43"/>
      <name val="Arial"/>
      <charset val="134"/>
    </font>
    <font>
      <i/>
      <sz val="10"/>
      <color rgb="FF627D98"/>
      <name val="Arial"/>
      <charset val="134"/>
    </font>
    <font>
      <b/>
      <sz val="10"/>
      <color rgb="FF243B53"/>
      <name val="Arial"/>
      <charset val="134"/>
    </font>
    <font>
      <sz val="10"/>
      <color rgb="FF102A43"/>
      <name val="Arial"/>
      <charset val="134"/>
    </font>
    <font>
      <sz val="10"/>
      <color rgb="FF1864AB"/>
      <name val="Arial"/>
      <charset val="134"/>
    </font>
    <font>
      <b/>
      <sz val="10"/>
      <color rgb="FF334E68"/>
      <name val="Arial"/>
      <charset val="134"/>
    </font>
    <font>
      <b/>
      <sz val="11"/>
      <color rgb="FF102A43"/>
      <name val="Arial"/>
      <charset val="134"/>
    </font>
    <font>
      <b/>
      <sz val="10"/>
      <color rgb="FFFFFFFF"/>
      <name val="Arial"/>
      <charset val="134"/>
    </font>
    <font>
      <sz val="10"/>
      <color rgb="FF243B53"/>
      <name val="Arial"/>
      <charset val="134"/>
    </font>
    <font>
      <i/>
      <sz val="9"/>
      <color rgb="FF829AB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8DB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C5D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E6B800"/>
      </left>
      <right/>
      <top style="thin">
        <color rgb="FFE6B800"/>
      </top>
      <bottom style="thin">
        <color rgb="FFE6B800"/>
      </bottom>
      <diagonal/>
    </border>
    <border>
      <left/>
      <right/>
      <top style="thin">
        <color rgb="FFE6B800"/>
      </top>
      <bottom style="thin">
        <color rgb="FFE6B800"/>
      </bottom>
      <diagonal/>
    </border>
    <border>
      <left/>
      <right style="thin">
        <color rgb="FFE6B800"/>
      </right>
      <top style="thin">
        <color rgb="FFE6B800"/>
      </top>
      <bottom style="thin">
        <color rgb="FFE6B800"/>
      </bottom>
      <diagonal/>
    </border>
    <border>
      <left style="thin">
        <color rgb="FFBCCCDC"/>
      </left>
      <right style="thin">
        <color rgb="FFBCCCDC"/>
      </right>
      <top style="thin">
        <color rgb="FFBCCCDC"/>
      </top>
      <bottom style="thin">
        <color rgb="FFBCCCDC"/>
      </bottom>
      <diagonal/>
    </border>
    <border>
      <left/>
      <right style="thin">
        <color rgb="FFD9EAF7"/>
      </right>
      <top/>
      <bottom style="medium">
        <color rgb="FF15456F"/>
      </bottom>
      <diagonal/>
    </border>
    <border>
      <left style="thin">
        <color rgb="FFD9EAF7"/>
      </left>
      <right style="thin">
        <color rgb="FFD9EAF7"/>
      </right>
      <top/>
      <bottom style="medium">
        <color rgb="FF15456F"/>
      </bottom>
      <diagonal/>
    </border>
    <border>
      <left style="thin">
        <color rgb="FFD9EAF7"/>
      </left>
      <right/>
      <top/>
      <bottom style="medium">
        <color rgb="FF15456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7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11" applyNumberFormat="0" applyAlignment="0" applyProtection="0">
      <alignment vertical="center"/>
    </xf>
    <xf numFmtId="0" fontId="21" fillId="9" borderId="12" applyNumberFormat="0" applyAlignment="0" applyProtection="0">
      <alignment vertical="center"/>
    </xf>
    <xf numFmtId="0" fontId="22" fillId="9" borderId="11" applyNumberFormat="0" applyAlignment="0" applyProtection="0">
      <alignment vertical="center"/>
    </xf>
    <xf numFmtId="0" fontId="23" fillId="10" borderId="13" applyNumberFormat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NumberFormat="1" applyFont="1" applyFill="1" applyBorder="1"/>
    <xf numFmtId="0" fontId="2" fillId="0" borderId="0" xfId="0" applyNumberFormat="1" applyFont="1" applyFill="1" applyBorder="1"/>
    <xf numFmtId="0" fontId="3" fillId="0" borderId="0" xfId="0" applyNumberFormat="1" applyFont="1" applyFill="1" applyBorder="1"/>
    <xf numFmtId="0" fontId="4" fillId="2" borderId="1" xfId="0" applyNumberFormat="1" applyFont="1" applyFill="1" applyBorder="1" applyAlignment="1">
      <alignment vertical="center"/>
    </xf>
    <xf numFmtId="0" fontId="4" fillId="2" borderId="2" xfId="0" applyNumberFormat="1" applyFont="1" applyFill="1" applyBorder="1" applyAlignment="1">
      <alignment vertical="center"/>
    </xf>
    <xf numFmtId="0" fontId="4" fillId="2" borderId="3" xfId="0" applyNumberFormat="1" applyFont="1" applyFill="1" applyBorder="1" applyAlignment="1">
      <alignment vertical="center"/>
    </xf>
    <xf numFmtId="178" fontId="4" fillId="2" borderId="1" xfId="0" applyNumberFormat="1" applyFont="1" applyFill="1" applyBorder="1" applyAlignment="1">
      <alignment vertical="center"/>
    </xf>
    <xf numFmtId="178" fontId="4" fillId="2" borderId="3" xfId="0" applyNumberFormat="1" applyFont="1" applyFill="1" applyBorder="1" applyAlignment="1">
      <alignment vertical="center"/>
    </xf>
    <xf numFmtId="0" fontId="5" fillId="3" borderId="0" xfId="0" applyNumberFormat="1" applyFont="1" applyFill="1" applyBorder="1" applyAlignment="1">
      <alignment vertical="center" wrapText="1"/>
    </xf>
    <xf numFmtId="0" fontId="6" fillId="4" borderId="0" xfId="0" applyNumberFormat="1" applyFont="1" applyFill="1" applyBorder="1" applyAlignment="1">
      <alignment vertical="center"/>
    </xf>
    <xf numFmtId="0" fontId="7" fillId="5" borderId="4" xfId="0" applyNumberFormat="1" applyFont="1" applyFill="1" applyBorder="1" applyAlignment="1">
      <alignment horizontal="center" vertical="center"/>
    </xf>
    <xf numFmtId="0" fontId="8" fillId="6" borderId="5" xfId="0" applyNumberFormat="1" applyFont="1" applyFill="1" applyBorder="1" applyAlignment="1">
      <alignment horizontal="center" vertical="center" wrapText="1"/>
    </xf>
    <xf numFmtId="0" fontId="8" fillId="6" borderId="6" xfId="0" applyNumberFormat="1" applyFont="1" applyFill="1" applyBorder="1" applyAlignment="1">
      <alignment horizontal="center" vertical="center" wrapText="1"/>
    </xf>
    <xf numFmtId="0" fontId="8" fillId="6" borderId="7" xfId="0" applyNumberFormat="1" applyFont="1" applyFill="1" applyBorder="1" applyAlignment="1">
      <alignment horizontal="center" vertical="center" wrapText="1"/>
    </xf>
    <xf numFmtId="0" fontId="9" fillId="0" borderId="0" xfId="0" applyNumberFormat="1" applyFont="1" applyFill="1" applyBorder="1" applyAlignment="1">
      <alignment horizontal="center" vertical="top" wrapText="1"/>
    </xf>
    <xf numFmtId="0" fontId="9" fillId="0" borderId="0" xfId="0" applyNumberFormat="1" applyFont="1" applyFill="1" applyBorder="1" applyAlignment="1">
      <alignment vertical="top" wrapText="1"/>
    </xf>
    <xf numFmtId="0" fontId="10" fillId="0" borderId="0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ont>
        <b val="1"/>
        <color rgb="FF166534"/>
      </font>
      <fill>
        <patternFill patternType="solid">
          <bgColor rgb="FFDCFCE7"/>
        </patternFill>
      </fill>
    </dxf>
    <dxf>
      <font>
        <b val="1"/>
        <color rgb="FFB91C1C"/>
      </font>
      <fill>
        <patternFill patternType="solid">
          <bgColor rgb="FFFEE2E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CuratedAlphaTestingChecklist" displayName="CuratedAlphaTestingChecklist" ref="A12:G41" totalsRowShown="0">
  <autoFilter xmlns:etc="http://www.wps.cn/officeDocument/2017/etCustomData" ref="A12:G41" etc:filterBottomFollowUsedRange="0"/>
  <tableColumns count="7">
    <tableColumn id="1" name="No."/>
    <tableColumn id="2" name="Modul"/>
    <tableColumn id="3" name="Hal yang Perlu Dicek"/>
    <tableColumn id="4" name="Langkah Pengujian"/>
    <tableColumn id="5" name="Hasil yang Diharapkan"/>
    <tableColumn id="6" name="Status"/>
    <tableColumn id="7" name="Keterang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28BE6"/>
  </sheetPr>
  <dimension ref="A2:H44"/>
  <sheetViews>
    <sheetView showGridLines="0" tabSelected="1" zoomScale="105" zoomScaleNormal="105" workbookViewId="0">
      <pane ySplit="12" topLeftCell="A40" activePane="bottomLeft" state="frozen"/>
      <selection/>
      <selection pane="bottomLeft" activeCell="D10" sqref="D10"/>
    </sheetView>
  </sheetViews>
  <sheetFormatPr defaultColWidth="9" defaultRowHeight="16.8" outlineLevelCol="7"/>
  <cols>
    <col min="1" max="1" width="6" customWidth="1"/>
    <col min="2" max="2" width="22" customWidth="1"/>
    <col min="3" max="3" width="42" customWidth="1"/>
    <col min="4" max="4" width="54" customWidth="1"/>
    <col min="5" max="5" width="52" customWidth="1"/>
    <col min="6" max="6" width="14" customWidth="1"/>
    <col min="7" max="7" width="36" customWidth="1"/>
    <col min="8" max="8" width="12" customWidth="1"/>
  </cols>
  <sheetData>
    <row r="2" ht="24" customHeight="1" spans="1:8">
      <c r="A2" s="1" t="s">
        <v>0</v>
      </c>
    </row>
    <row r="3" ht="20" customHeight="1" spans="1:8">
      <c r="A3" s="2"/>
    </row>
    <row r="5" ht="24" customHeight="1" spans="1:8">
      <c r="A5" s="3" t="s">
        <v>1</v>
      </c>
      <c r="B5" s="4" t="s">
        <v>2</v>
      </c>
      <c r="C5" s="5" t="s">
        <v>2</v>
      </c>
      <c r="D5" s="6" t="s">
        <v>2</v>
      </c>
      <c r="E5" s="3" t="s">
        <v>3</v>
      </c>
      <c r="F5" s="7" t="s">
        <v>2</v>
      </c>
      <c r="G5" s="8" t="s">
        <v>2</v>
      </c>
    </row>
    <row r="7" ht="30" customHeight="1" spans="1:8">
      <c r="A7" s="9" t="s">
        <v>4</v>
      </c>
      <c r="B7" s="9" t="s">
        <v>4</v>
      </c>
      <c r="C7" s="9" t="s">
        <v>4</v>
      </c>
      <c r="D7" s="9" t="s">
        <v>4</v>
      </c>
      <c r="E7" s="9" t="s">
        <v>4</v>
      </c>
      <c r="F7" s="9" t="s">
        <v>4</v>
      </c>
      <c r="G7" s="9" t="s">
        <v>4</v>
      </c>
    </row>
    <row r="9" ht="26" customHeight="1" spans="1:8">
      <c r="A9" s="10" t="s">
        <v>5</v>
      </c>
      <c r="B9" s="11">
        <f>COUNTA(C13:C41)</f>
        <v>29</v>
      </c>
      <c r="C9" s="10" t="s">
        <v>6</v>
      </c>
      <c r="D9" s="10">
        <f>COUNTIF(F13:F41,"Berhasil")</f>
        <v>0</v>
      </c>
      <c r="E9" s="10" t="s">
        <v>7</v>
      </c>
      <c r="F9" s="10">
        <f>COUNTIF(F13:F41,"Gagal")</f>
        <v>0</v>
      </c>
      <c r="G9" s="10" t="s">
        <v>8</v>
      </c>
      <c r="H9" s="10">
        <f>B9-D9-F9</f>
        <v>29</v>
      </c>
    </row>
    <row r="12" ht="30" customHeight="1" spans="1:8">
      <c r="A12" s="12" t="s">
        <v>9</v>
      </c>
      <c r="B12" s="13" t="s">
        <v>10</v>
      </c>
      <c r="C12" s="13" t="s">
        <v>11</v>
      </c>
      <c r="D12" s="13" t="s">
        <v>12</v>
      </c>
      <c r="E12" s="13" t="s">
        <v>13</v>
      </c>
      <c r="F12" s="13" t="s">
        <v>14</v>
      </c>
      <c r="G12" s="14" t="s">
        <v>15</v>
      </c>
    </row>
    <row r="13" ht="72" customHeight="1" spans="1:8">
      <c r="A13" s="15">
        <v>1</v>
      </c>
      <c r="B13" s="16" t="s">
        <v>16</v>
      </c>
      <c r="C13" s="16" t="s">
        <v>17</v>
      </c>
      <c r="D13" s="16" t="s">
        <v>18</v>
      </c>
      <c r="E13" s="16" t="s">
        <v>19</v>
      </c>
      <c r="F13" s="15" t="s">
        <v>2</v>
      </c>
      <c r="G13" s="16" t="s">
        <v>2</v>
      </c>
    </row>
    <row r="14" ht="72" customHeight="1" spans="1:8">
      <c r="A14" s="15">
        <v>2</v>
      </c>
      <c r="B14" s="16" t="s">
        <v>16</v>
      </c>
      <c r="C14" s="16" t="s">
        <v>20</v>
      </c>
      <c r="D14" s="16" t="s">
        <v>21</v>
      </c>
      <c r="E14" s="16" t="s">
        <v>22</v>
      </c>
      <c r="F14" s="15" t="s">
        <v>2</v>
      </c>
      <c r="G14" s="16" t="s">
        <v>2</v>
      </c>
    </row>
    <row r="15" ht="72" customHeight="1" spans="1:8">
      <c r="A15" s="15">
        <v>3</v>
      </c>
      <c r="B15" s="16" t="s">
        <v>23</v>
      </c>
      <c r="C15" s="16" t="s">
        <v>24</v>
      </c>
      <c r="D15" s="16" t="s">
        <v>25</v>
      </c>
      <c r="E15" s="16" t="s">
        <v>26</v>
      </c>
      <c r="F15" s="15" t="s">
        <v>2</v>
      </c>
      <c r="G15" s="16" t="s">
        <v>2</v>
      </c>
    </row>
    <row r="16" ht="72" customHeight="1" spans="1:8">
      <c r="A16" s="15">
        <v>4</v>
      </c>
      <c r="B16" s="16" t="s">
        <v>27</v>
      </c>
      <c r="C16" s="16" t="s">
        <v>28</v>
      </c>
      <c r="D16" s="16" t="s">
        <v>29</v>
      </c>
      <c r="E16" s="16" t="s">
        <v>30</v>
      </c>
      <c r="F16" s="15" t="s">
        <v>2</v>
      </c>
      <c r="G16" s="16" t="s">
        <v>2</v>
      </c>
    </row>
    <row r="17" ht="72" customHeight="1" spans="1:7">
      <c r="A17" s="15">
        <v>5</v>
      </c>
      <c r="B17" s="16" t="s">
        <v>31</v>
      </c>
      <c r="C17" s="16" t="s">
        <v>32</v>
      </c>
      <c r="D17" s="16" t="s">
        <v>33</v>
      </c>
      <c r="E17" s="16" t="s">
        <v>34</v>
      </c>
      <c r="F17" s="15" t="s">
        <v>2</v>
      </c>
      <c r="G17" s="16" t="s">
        <v>2</v>
      </c>
    </row>
    <row r="18" ht="72" customHeight="1" spans="1:7">
      <c r="A18" s="15">
        <v>6</v>
      </c>
      <c r="B18" s="16" t="s">
        <v>31</v>
      </c>
      <c r="C18" s="16" t="s">
        <v>35</v>
      </c>
      <c r="D18" s="16" t="s">
        <v>36</v>
      </c>
      <c r="E18" s="16" t="s">
        <v>37</v>
      </c>
      <c r="F18" s="15" t="s">
        <v>2</v>
      </c>
      <c r="G18" s="16" t="s">
        <v>2</v>
      </c>
    </row>
    <row r="19" ht="72" customHeight="1" spans="1:7">
      <c r="A19" s="15">
        <v>7</v>
      </c>
      <c r="B19" s="16" t="s">
        <v>38</v>
      </c>
      <c r="C19" s="16" t="s">
        <v>39</v>
      </c>
      <c r="D19" s="16" t="s">
        <v>40</v>
      </c>
      <c r="E19" s="16" t="s">
        <v>41</v>
      </c>
      <c r="F19" s="15" t="s">
        <v>2</v>
      </c>
      <c r="G19" s="16" t="s">
        <v>2</v>
      </c>
    </row>
    <row r="20" ht="72" customHeight="1" spans="1:7">
      <c r="A20" s="15">
        <v>8</v>
      </c>
      <c r="B20" s="16" t="s">
        <v>42</v>
      </c>
      <c r="C20" s="16" t="s">
        <v>43</v>
      </c>
      <c r="D20" s="16" t="s">
        <v>44</v>
      </c>
      <c r="E20" s="16" t="s">
        <v>45</v>
      </c>
      <c r="F20" s="15" t="s">
        <v>2</v>
      </c>
      <c r="G20" s="16" t="s">
        <v>2</v>
      </c>
    </row>
    <row r="21" ht="72" customHeight="1" spans="1:7">
      <c r="A21" s="15">
        <v>9</v>
      </c>
      <c r="B21" s="16" t="s">
        <v>46</v>
      </c>
      <c r="C21" s="16" t="s">
        <v>47</v>
      </c>
      <c r="D21" s="16" t="s">
        <v>48</v>
      </c>
      <c r="E21" s="16" t="s">
        <v>49</v>
      </c>
      <c r="F21" s="15" t="s">
        <v>2</v>
      </c>
      <c r="G21" s="16" t="s">
        <v>2</v>
      </c>
    </row>
    <row r="22" ht="72" customHeight="1" spans="1:7">
      <c r="A22" s="15">
        <v>10</v>
      </c>
      <c r="B22" s="16" t="s">
        <v>46</v>
      </c>
      <c r="C22" s="16" t="s">
        <v>50</v>
      </c>
      <c r="D22" s="16" t="s">
        <v>51</v>
      </c>
      <c r="E22" s="16" t="s">
        <v>52</v>
      </c>
      <c r="F22" s="15" t="s">
        <v>2</v>
      </c>
      <c r="G22" s="16" t="s">
        <v>2</v>
      </c>
    </row>
    <row r="23" ht="72" customHeight="1" spans="1:7">
      <c r="A23" s="15">
        <v>11</v>
      </c>
      <c r="B23" s="16" t="s">
        <v>53</v>
      </c>
      <c r="C23" s="16" t="s">
        <v>54</v>
      </c>
      <c r="D23" s="16" t="s">
        <v>55</v>
      </c>
      <c r="E23" s="16" t="s">
        <v>56</v>
      </c>
      <c r="F23" s="15" t="s">
        <v>2</v>
      </c>
      <c r="G23" s="16" t="s">
        <v>2</v>
      </c>
    </row>
    <row r="24" ht="72" customHeight="1" spans="1:7">
      <c r="A24" s="15">
        <v>12</v>
      </c>
      <c r="B24" s="16" t="s">
        <v>53</v>
      </c>
      <c r="C24" s="16" t="s">
        <v>57</v>
      </c>
      <c r="D24" s="16" t="s">
        <v>58</v>
      </c>
      <c r="E24" s="16" t="s">
        <v>59</v>
      </c>
      <c r="F24" s="15" t="s">
        <v>2</v>
      </c>
      <c r="G24" s="16" t="s">
        <v>2</v>
      </c>
    </row>
    <row r="25" ht="72" customHeight="1" spans="1:7">
      <c r="A25" s="15">
        <v>13</v>
      </c>
      <c r="B25" s="16" t="s">
        <v>53</v>
      </c>
      <c r="C25" s="16" t="s">
        <v>60</v>
      </c>
      <c r="D25" s="16" t="s">
        <v>61</v>
      </c>
      <c r="E25" s="16" t="s">
        <v>62</v>
      </c>
      <c r="F25" s="15" t="s">
        <v>2</v>
      </c>
      <c r="G25" s="16" t="s">
        <v>2</v>
      </c>
    </row>
    <row r="26" ht="72" customHeight="1" spans="1:7">
      <c r="A26" s="15">
        <v>14</v>
      </c>
      <c r="B26" s="16" t="s">
        <v>63</v>
      </c>
      <c r="C26" s="16" t="s">
        <v>64</v>
      </c>
      <c r="D26" s="16" t="s">
        <v>65</v>
      </c>
      <c r="E26" s="16" t="s">
        <v>66</v>
      </c>
      <c r="F26" s="15" t="s">
        <v>2</v>
      </c>
      <c r="G26" s="16" t="s">
        <v>2</v>
      </c>
    </row>
    <row r="27" ht="72" customHeight="1" spans="1:7">
      <c r="A27" s="15">
        <v>15</v>
      </c>
      <c r="B27" s="16" t="s">
        <v>67</v>
      </c>
      <c r="C27" s="16" t="s">
        <v>68</v>
      </c>
      <c r="D27" s="16" t="s">
        <v>69</v>
      </c>
      <c r="E27" s="16" t="s">
        <v>70</v>
      </c>
      <c r="F27" s="15" t="s">
        <v>2</v>
      </c>
      <c r="G27" s="16" t="s">
        <v>2</v>
      </c>
    </row>
    <row r="28" ht="72" customHeight="1" spans="1:7">
      <c r="A28" s="15">
        <v>16</v>
      </c>
      <c r="B28" s="16" t="s">
        <v>71</v>
      </c>
      <c r="C28" s="16" t="s">
        <v>72</v>
      </c>
      <c r="D28" s="16" t="s">
        <v>73</v>
      </c>
      <c r="E28" s="16" t="s">
        <v>74</v>
      </c>
      <c r="F28" s="15" t="s">
        <v>2</v>
      </c>
      <c r="G28" s="16" t="s">
        <v>2</v>
      </c>
    </row>
    <row r="29" ht="72" customHeight="1" spans="1:7">
      <c r="A29" s="15">
        <v>17</v>
      </c>
      <c r="B29" s="16" t="s">
        <v>75</v>
      </c>
      <c r="C29" s="16" t="s">
        <v>76</v>
      </c>
      <c r="D29" s="16" t="s">
        <v>77</v>
      </c>
      <c r="E29" s="16" t="s">
        <v>78</v>
      </c>
      <c r="F29" s="15" t="s">
        <v>2</v>
      </c>
      <c r="G29" s="16" t="s">
        <v>2</v>
      </c>
    </row>
    <row r="30" ht="72" customHeight="1" spans="1:7">
      <c r="A30" s="15">
        <v>18</v>
      </c>
      <c r="B30" s="16" t="s">
        <v>79</v>
      </c>
      <c r="C30" s="16" t="s">
        <v>80</v>
      </c>
      <c r="D30" s="16" t="s">
        <v>81</v>
      </c>
      <c r="E30" s="16" t="s">
        <v>82</v>
      </c>
      <c r="F30" s="15" t="s">
        <v>2</v>
      </c>
      <c r="G30" s="16" t="s">
        <v>2</v>
      </c>
    </row>
    <row r="31" ht="72" customHeight="1" spans="1:7">
      <c r="A31" s="15">
        <v>19</v>
      </c>
      <c r="B31" s="16" t="s">
        <v>79</v>
      </c>
      <c r="C31" s="16" t="s">
        <v>83</v>
      </c>
      <c r="D31" s="16" t="s">
        <v>84</v>
      </c>
      <c r="E31" s="16" t="s">
        <v>85</v>
      </c>
      <c r="F31" s="15" t="s">
        <v>2</v>
      </c>
      <c r="G31" s="16" t="s">
        <v>2</v>
      </c>
    </row>
    <row r="32" ht="72" customHeight="1" spans="1:7">
      <c r="A32" s="15">
        <v>20</v>
      </c>
      <c r="B32" s="16" t="s">
        <v>86</v>
      </c>
      <c r="C32" s="16" t="s">
        <v>87</v>
      </c>
      <c r="D32" s="16" t="s">
        <v>88</v>
      </c>
      <c r="E32" s="16" t="s">
        <v>89</v>
      </c>
      <c r="F32" s="15" t="s">
        <v>2</v>
      </c>
      <c r="G32" s="16" t="s">
        <v>2</v>
      </c>
    </row>
    <row r="33" ht="72" customHeight="1" spans="1:7">
      <c r="A33" s="15">
        <v>21</v>
      </c>
      <c r="B33" s="16" t="s">
        <v>86</v>
      </c>
      <c r="C33" s="16" t="s">
        <v>90</v>
      </c>
      <c r="D33" s="16" t="s">
        <v>91</v>
      </c>
      <c r="E33" s="16" t="s">
        <v>92</v>
      </c>
      <c r="F33" s="15" t="s">
        <v>2</v>
      </c>
      <c r="G33" s="16" t="s">
        <v>2</v>
      </c>
    </row>
    <row r="34" ht="72" customHeight="1" spans="1:7">
      <c r="A34" s="15">
        <v>22</v>
      </c>
      <c r="B34" s="16" t="s">
        <v>93</v>
      </c>
      <c r="C34" s="16" t="s">
        <v>94</v>
      </c>
      <c r="D34" s="16" t="s">
        <v>95</v>
      </c>
      <c r="E34" s="16" t="s">
        <v>96</v>
      </c>
      <c r="F34" s="15" t="s">
        <v>2</v>
      </c>
      <c r="G34" s="16" t="s">
        <v>2</v>
      </c>
    </row>
    <row r="35" ht="72" customHeight="1" spans="1:7">
      <c r="A35" s="15">
        <v>23</v>
      </c>
      <c r="B35" s="16" t="s">
        <v>97</v>
      </c>
      <c r="C35" s="16" t="s">
        <v>98</v>
      </c>
      <c r="D35" s="16" t="s">
        <v>99</v>
      </c>
      <c r="E35" s="16" t="s">
        <v>100</v>
      </c>
      <c r="F35" s="15" t="s">
        <v>2</v>
      </c>
      <c r="G35" s="16" t="s">
        <v>2</v>
      </c>
    </row>
    <row r="36" ht="72" customHeight="1" spans="1:7">
      <c r="A36" s="15">
        <v>24</v>
      </c>
      <c r="B36" s="16" t="s">
        <v>97</v>
      </c>
      <c r="C36" s="16" t="s">
        <v>101</v>
      </c>
      <c r="D36" s="16" t="s">
        <v>102</v>
      </c>
      <c r="E36" s="16" t="s">
        <v>103</v>
      </c>
      <c r="F36" s="15" t="s">
        <v>2</v>
      </c>
      <c r="G36" s="16" t="s">
        <v>2</v>
      </c>
    </row>
    <row r="37" ht="72" customHeight="1" spans="1:7">
      <c r="A37" s="15">
        <v>25</v>
      </c>
      <c r="B37" s="16" t="s">
        <v>97</v>
      </c>
      <c r="C37" s="16" t="s">
        <v>104</v>
      </c>
      <c r="D37" s="16" t="s">
        <v>105</v>
      </c>
      <c r="E37" s="16" t="s">
        <v>106</v>
      </c>
      <c r="F37" s="15" t="s">
        <v>2</v>
      </c>
      <c r="G37" s="16" t="s">
        <v>2</v>
      </c>
    </row>
    <row r="38" ht="72" customHeight="1" spans="1:7">
      <c r="A38" s="15">
        <v>26</v>
      </c>
      <c r="B38" s="16" t="s">
        <v>97</v>
      </c>
      <c r="C38" s="16" t="s">
        <v>107</v>
      </c>
      <c r="D38" s="16" t="s">
        <v>108</v>
      </c>
      <c r="E38" s="16" t="s">
        <v>109</v>
      </c>
      <c r="F38" s="15" t="s">
        <v>2</v>
      </c>
      <c r="G38" s="16" t="s">
        <v>2</v>
      </c>
    </row>
    <row r="39" ht="72" customHeight="1" spans="1:7">
      <c r="A39" s="15">
        <v>27</v>
      </c>
      <c r="B39" s="16" t="s">
        <v>110</v>
      </c>
      <c r="C39" s="16" t="s">
        <v>111</v>
      </c>
      <c r="D39" s="16" t="s">
        <v>112</v>
      </c>
      <c r="E39" s="16" t="s">
        <v>113</v>
      </c>
      <c r="F39" s="15" t="s">
        <v>2</v>
      </c>
      <c r="G39" s="16" t="s">
        <v>2</v>
      </c>
    </row>
    <row r="40" ht="72" customHeight="1" spans="1:7">
      <c r="A40" s="15">
        <v>28</v>
      </c>
      <c r="B40" s="16" t="s">
        <v>114</v>
      </c>
      <c r="C40" s="16" t="s">
        <v>115</v>
      </c>
      <c r="D40" s="16" t="s">
        <v>116</v>
      </c>
      <c r="E40" s="16" t="s">
        <v>117</v>
      </c>
      <c r="F40" s="15" t="s">
        <v>2</v>
      </c>
      <c r="G40" s="16" t="s">
        <v>2</v>
      </c>
    </row>
    <row r="41" ht="72" customHeight="1" spans="1:7">
      <c r="A41" s="15">
        <v>29</v>
      </c>
      <c r="B41" s="16" t="s">
        <v>118</v>
      </c>
      <c r="C41" s="16" t="s">
        <v>119</v>
      </c>
      <c r="D41" s="16" t="s">
        <v>120</v>
      </c>
      <c r="E41" s="16" t="s">
        <v>121</v>
      </c>
      <c r="F41" s="15" t="s">
        <v>2</v>
      </c>
      <c r="G41" s="16" t="s">
        <v>2</v>
      </c>
    </row>
    <row r="42" ht="72" customHeight="1"/>
    <row r="44" spans="1:7">
      <c r="A44" s="17"/>
    </row>
  </sheetData>
  <mergeCells count="3">
    <mergeCell ref="B5:D5"/>
    <mergeCell ref="F5:G5"/>
    <mergeCell ref="A7:G7"/>
  </mergeCells>
  <conditionalFormatting sqref="F13:F41">
    <cfRule type="containsText" dxfId="0" priority="1" operator="between" text="Berhasil">
      <formula>NOT(ISERROR(SEARCH("Berhasil",F13)))</formula>
    </cfRule>
    <cfRule type="containsText" dxfId="1" priority="2" operator="between" text="Gagal">
      <formula>NOT(ISERROR(SEARCH("Gagal",F13)))</formula>
    </cfRule>
  </conditionalFormatting>
  <dataValidations count="1">
    <dataValidation type="list" sqref="F13:F39 F40:F41">
      <formula1>"Berhasil,Gagal"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Checklist Pengujian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Pusdiklat 2600</cp:lastModifiedBy>
  <dcterms:created xsi:type="dcterms:W3CDTF">2026-09-18T07:54:52Z</dcterms:created>
  <dcterms:modified xsi:type="dcterms:W3CDTF">2026-09-18T09:18:54Z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31DA0820CBAEE64B228CAC6A777BCE4D_42</vt:lpwstr>
  </property>
  <property fmtid="{D5CDD505-2E9C-101B-9397-08002B2CF9AE}" pid="3" name="KSOProductBuildVer">
    <vt:lpwstr>1033-12.1.28492.28492</vt:lpwstr>
  </property>
  <property fmtid="{D5CDD505-2E9C-101B-9397-08002B2CF9AE}" pid="4" name="CalculationRule">
    <vt:i4>0</vt:i4>
  </property>
</Properties>
</file>