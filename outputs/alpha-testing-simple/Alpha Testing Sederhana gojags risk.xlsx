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9a7f851b6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Pengujian" sheetId="1" r:id="R8fb1da31b720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 mmm yyyy"/>
  </x:numFmts>
  <x:fonts count="12">
    <x:font>
      <x:sz val="11"/>
      <x:name val="Carlito"/>
    </x:font>
    <x:font>
      <x:b/>
      <x:sz val="16"/>
      <x:color rgb="FF102A43"/>
      <x:name val="Arial"/>
    </x:font>
    <x:font>
      <x:i/>
      <x:sz val="10"/>
      <x:color rgb="FF627D98"/>
      <x:name val="Arial"/>
    </x:font>
    <x:font>
      <x:sz val="10"/>
      <x:name val="Arial"/>
    </x:font>
    <x:font>
      <x:b/>
      <x:sz val="10"/>
      <x:color rgb="FF243B53"/>
      <x:name val="Arial"/>
    </x:font>
    <x:font>
      <x:sz val="10"/>
      <x:color rgb="FF102A43"/>
      <x:name val="Arial"/>
    </x:font>
    <x:font>
      <x:sz val="10"/>
      <x:color rgb="FF1864AB"/>
      <x:name val="Arial"/>
    </x:font>
    <x:font>
      <x:b/>
      <x:sz val="10"/>
      <x:color rgb="FF334E68"/>
      <x:name val="Arial"/>
    </x:font>
    <x:font>
      <x:b/>
      <x:sz val="11"/>
      <x:color rgb="FF102A43"/>
      <x:name val="Arial"/>
    </x:font>
    <x:font>
      <x:b/>
      <x:sz val="10"/>
      <x:color rgb="FFFFFFFF"/>
      <x:name val="Arial"/>
    </x:font>
    <x:font>
      <x:sz val="10"/>
      <x:color rgb="FF243B53"/>
      <x:name val="Arial"/>
    </x:font>
    <x:font>
      <x:i/>
      <x:sz val="9"/>
      <x:color rgb="FF829AB1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F8DB"/>
      </x:patternFill>
    </x:fill>
    <x:fill>
      <x:patternFill patternType="solid">
        <x:fgColor rgb="FFEAF4FF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1C5D99"/>
      </x:patternFill>
    </x:fill>
  </x:fills>
  <x:borders count="8">
    <x:border/>
    <x:border>
      <x:left style="thin">
        <x:color rgb="FFE6B800"/>
      </x:left>
      <x:top style="thin">
        <x:color rgb="FFE6B800"/>
      </x:top>
      <x:bottom style="thin">
        <x:color rgb="FFE6B800"/>
      </x:bottom>
    </x:border>
    <x:border>
      <x:top style="thin">
        <x:color rgb="FFE6B800"/>
      </x:top>
      <x:bottom style="thin">
        <x:color rgb="FFE6B800"/>
      </x:bottom>
    </x:border>
    <x:border>
      <x:right style="thin">
        <x:color rgb="FFE6B800"/>
      </x:right>
      <x:top style="thin">
        <x:color rgb="FFE6B800"/>
      </x:top>
      <x:bottom style="thin">
        <x:color rgb="FFE6B800"/>
      </x:bottom>
    </x:border>
    <x:border>
      <x:left style="thin">
        <x:color rgb="FFBCCCDC"/>
      </x:left>
      <x:right style="thin">
        <x:color rgb="FFBCCCDC"/>
      </x:right>
      <x:top style="thin">
        <x:color rgb="FFBCCCDC"/>
      </x:top>
      <x:bottom style="thin">
        <x:color rgb="FFBCCCDC"/>
      </x:bottom>
    </x:border>
    <x:border>
      <x:right style="thin">
        <x:color rgb="FFD9EAF7"/>
      </x:right>
      <x:bottom style="medium">
        <x:color rgb="FF15456F"/>
      </x:bottom>
    </x:border>
    <x:border>
      <x:left style="thin">
        <x:color rgb="FFD9EAF7"/>
      </x:left>
      <x:right style="thin">
        <x:color rgb="FFD9EAF7"/>
      </x:right>
      <x:bottom style="medium">
        <x:color rgb="FF15456F"/>
      </x:bottom>
    </x:border>
    <x:border>
      <x:left style="thin">
        <x:color rgb="FFD9EAF7"/>
      </x:left>
      <x:bottom style="medium">
        <x:color rgb="FF15456F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200" fontId="5" fillId="2" borderId="1" xfId="0" applyNumberFormat="1" applyFont="1" applyFill="1" applyBorder="1" applyAlignment="1">
      <x:alignment vertical="center"/>
    </x:xf>
    <x:xf numFmtId="200" fontId="5" fillId="2" borderId="2" xfId="0" applyNumberFormat="1" applyFont="1" applyFill="1" applyBorder="1" applyAlignment="1">
      <x:alignment vertical="center"/>
    </x:xf>
    <x:xf numFmtId="200" fontId="5" fillId="2" borderId="3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vertical="center"/>
    </x:xf>
    <x:xf numFmtId="0" fontId="8" fillId="5" borderId="4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5" xfId="0" applyNumberFormat="1" applyFont="1" applyFill="1" applyBorder="1"/>
    <x:xf numFmtId="0" fontId="9" fillId="6" borderId="6" xfId="0" applyNumberFormat="1" applyFont="1" applyFill="1" applyBorder="1"/>
    <x:xf numFmtId="0" fontId="9" fillId="6" borderId="7" xfId="0" applyNumberFormat="1" applyFont="1" applyFill="1" applyBorder="1"/>
    <x:xf numFmtId="0" fontId="9" fillId="6" borderId="5" xfId="0" applyNumberFormat="1" applyFont="1" applyFill="1" applyBorder="1" applyAlignment="1">
      <x:alignment wrapText="1"/>
    </x:xf>
    <x:xf numFmtId="0" fontId="9" fillId="6" borderId="6" xfId="0" applyNumberFormat="1" applyFont="1" applyFill="1" applyBorder="1" applyAlignment="1">
      <x:alignment wrapText="1"/>
    </x:xf>
    <x:xf numFmtId="0" fontId="9" fillId="6" borderId="7" xfId="0" applyNumberFormat="1" applyFont="1" applyFill="1" applyBorder="1" applyAlignment="1">
      <x:alignment wrapText="1"/>
    </x:xf>
    <x:xf numFmtId="0" fontId="9" fillId="6" borderId="5" xfId="0" applyNumberFormat="1" applyFont="1" applyFill="1" applyBorder="1" applyAlignment="1">
      <x:alignment horizontal="center" wrapText="1"/>
    </x:xf>
    <x:xf numFmtId="0" fontId="9" fillId="6" borderId="6" xfId="0" applyNumberFormat="1" applyFont="1" applyFill="1" applyBorder="1" applyAlignment="1">
      <x:alignment horizontal="center" wrapText="1"/>
    </x:xf>
    <x:xf numFmtId="0" fontId="9" fillId="6" borderId="7" xfId="0" applyNumberFormat="1" applyFont="1" applyFill="1" applyBorder="1" applyAlignment="1">
      <x:alignment horizontal="center" wrapText="1"/>
    </x:xf>
    <x:xf numFmtId="0" fontId="9" fillId="6" borderId="5" xfId="0" applyNumberFormat="1" applyFont="1" applyFill="1" applyBorder="1" applyAlignment="1">
      <x:alignment horizontal="center" vertical="center" wrapText="1"/>
    </x:xf>
    <x:xf numFmtId="0" fontId="9" fillId="6" borderId="6" xfId="0" applyNumberFormat="1" applyFont="1" applyFill="1" applyBorder="1" applyAlignment="1">
      <x:alignment horizontal="center" vertical="center" wrapText="1"/>
    </x:xf>
    <x:xf numFmtId="0" fontId="9" fillId="6" borderId="7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top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6d974b67b74b99" /><Relationship Type="http://schemas.openxmlformats.org/officeDocument/2006/relationships/theme" Target="/xl/theme/theme1.xml" Id="Ra0fd7779d8ec4859" /><Relationship Type="http://schemas.openxmlformats.org/officeDocument/2006/relationships/sharedStrings" Target="/xl/sharedStrings.xml" Id="R8ebacdb522344290" /><Relationship Type="http://schemas.openxmlformats.org/officeDocument/2006/relationships/worksheet" Target="/xl/worksheets/sheet1.xml" Id="R8fb1da31b720492d" /></Relationships>
</file>

<file path=xl/tables/table1.xml><?xml version="1.0" encoding="utf-8"?>
<x:table xmlns:x="http://schemas.openxmlformats.org/spreadsheetml/2006/main" id="1" name="AlphaTestingChecklist" displayName="AlphaTestingChecklist" ref="A12:H84" headerRowCount="1" totalsRowCount="0" totalsRowShown="0">
  <x:autoFilter ref="A12:H84"/>
  <x:tableColumns count="8">
    <x:tableColumn id="1" name="No."/>
    <x:tableColumn id="2" name="Modul"/>
    <x:tableColumn id="3" name="Kode"/>
    <x:tableColumn id="4" name="Hal yang Perlu Dicek"/>
    <x:tableColumn id="5" name="Langkah Pengujian"/>
    <x:tableColumn id="6" name="Hasil yang Diharapkan"/>
    <x:tableColumn id="7" name="Status"/>
    <x:tableColumn id="8" name="Keteranga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773077252eb42bd" /></Relationships>
</file>

<file path=xl/worksheets/sheet1.xml><?xml version="1.0" encoding="utf-8"?>
<x:worksheet xmlns:x="http://schemas.openxmlformats.org/spreadsheetml/2006/main">
  <x:sheetPr>
    <x:tabColor rgb="FF228BE6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6" hidden="0" customWidth="1"/>
    <x:col min="2" max="2" width="22" hidden="0" customWidth="1"/>
    <x:col min="3" max="3" width="15" hidden="0" customWidth="1"/>
    <x:col min="4" max="4" width="32" hidden="0" customWidth="1"/>
    <x:col min="5" max="5" width="48" hidden="0" customWidth="1"/>
    <x:col min="6" max="6" width="48" hidden="0" customWidth="1"/>
    <x:col min="7" max="7" width="14" hidden="0" customWidth="1"/>
    <x:col min="8" max="8" width="34" hidden="0" customWidth="1"/>
  </x:cols>
  <x:sheetData>
    <x:row r="2" ht="24" customHeight="1">
      <x:c r="A2" s="1" t="str">
        <x:v>Checklist Alpha Testing gojags risk</x:v>
      </x:c>
    </x:row>
    <x:row r="3" ht="20" customHeight="1">
      <x:c r="A3" s="2" t="str">
        <x:v>Jalankan setiap skenario, lalu pilih status Berhasil atau Gagal. Isi keterangan jika menemukan kendala.</x:v>
      </x:c>
    </x:row>
    <x:row r="5" ht="24" customHeight="1">
      <x:c r="A5" s="4" t="str">
        <x:v>Nama Tester</x:v>
      </x:c>
      <x:c r="B5" s="10" t="str"/>
      <x:c r="C5" s="11" t="str"/>
      <x:c r="D5" s="12" t="str"/>
      <x:c r="E5" s="4" t="str">
        <x:v>Tanggal Pengujian</x:v>
      </x:c>
      <x:c r="F5" s="13" t="str"/>
      <x:c r="G5" s="14" t="str"/>
      <x:c r="H5" s="15" t="str"/>
    </x:row>
    <x:row r="7" ht="30" customHeight="1">
      <x:c r="A7" s="19" t="str">
        <x:v>Petunjuk: pilih status pada kolom Status. Jika Gagal, jelaskan masalah secara singkat pada kolom Keterangan.</x:v>
      </x:c>
      <x:c r="B7" s="19" t="str">
        <x:v>Petunjuk: pilih status pada kolom Status. Jika Gagal, jelaskan masalah secara singkat pada kolom Keterangan.</x:v>
      </x:c>
      <x:c r="C7" s="19" t="str">
        <x:v>Petunjuk: pilih status pada kolom Status. Jika Gagal, jelaskan masalah secara singkat pada kolom Keterangan.</x:v>
      </x:c>
      <x:c r="D7" s="19" t="str">
        <x:v>Petunjuk: pilih status pada kolom Status. Jika Gagal, jelaskan masalah secara singkat pada kolom Keterangan.</x:v>
      </x:c>
      <x:c r="E7" s="19" t="str">
        <x:v>Petunjuk: pilih status pada kolom Status. Jika Gagal, jelaskan masalah secara singkat pada kolom Keterangan.</x:v>
      </x:c>
      <x:c r="F7" s="19" t="str">
        <x:v>Petunjuk: pilih status pada kolom Status. Jika Gagal, jelaskan masalah secara singkat pada kolom Keterangan.</x:v>
      </x:c>
      <x:c r="G7" s="19" t="str">
        <x:v>Petunjuk: pilih status pada kolom Status. Jika Gagal, jelaskan masalah secara singkat pada kolom Keterangan.</x:v>
      </x:c>
      <x:c r="H7" s="19" t="str">
        <x:v>Petunjuk: pilih status pada kolom Status. Jika Gagal, jelaskan masalah secara singkat pada kolom Keterangan.</x:v>
      </x:c>
    </x:row>
    <x:row r="9" ht="26" customHeight="1">
      <x:c r="A9" s="22" t="str">
        <x:v>Total Skenario</x:v>
      </x:c>
      <x:c r="B9" s="26" t="n">
        <x:f>COUNTA(D13:D84)</x:f>
        <x:v>72</x:v>
      </x:c>
      <x:c r="C9" s="22" t="str">
        <x:v>Berhasil</x:v>
      </x:c>
      <x:c r="D9" s="22" t="n">
        <x:f>COUNTIF(G13:G84,"Berhasil")</x:f>
        <x:v>0</x:v>
      </x:c>
      <x:c r="E9" s="22" t="str">
        <x:v>Gagal</x:v>
      </x:c>
      <x:c r="F9" s="22" t="n">
        <x:f>COUNTIF(G13:G84,"Gagal")</x:f>
        <x:v>0</x:v>
      </x:c>
      <x:c r="G9" s="22" t="str">
        <x:v>Belum Diisi</x:v>
      </x:c>
      <x:c r="H9" s="22" t="n">
        <x:f>B9-D9-F9</x:f>
        <x:v>72</x:v>
      </x:c>
    </x:row>
    <x:row r="12" ht="30" customHeight="1">
      <x:c r="A12" s="38" t="str">
        <x:v>No.</x:v>
      </x:c>
      <x:c r="B12" s="39" t="str">
        <x:v>Modul</x:v>
      </x:c>
      <x:c r="C12" s="39" t="str">
        <x:v>Kode</x:v>
      </x:c>
      <x:c r="D12" s="39" t="str">
        <x:v>Hal yang Perlu Dicek</x:v>
      </x:c>
      <x:c r="E12" s="39" t="str">
        <x:v>Langkah Pengujian</x:v>
      </x:c>
      <x:c r="F12" s="39" t="str">
        <x:v>Hasil yang Diharapkan</x:v>
      </x:c>
      <x:c r="G12" s="39" t="str">
        <x:v>Status</x:v>
      </x:c>
      <x:c r="H12" s="40" t="str">
        <x:v>Keterangan</x:v>
      </x:c>
    </x:row>
    <x:row r="13" ht="60" customHeight="1">
      <x:c r="A13" s="44" t="n">
        <x:v>1</x:v>
      </x:c>
      <x:c r="B13" s="43" t="str">
        <x:v>Autentikasi</x:v>
      </x:c>
      <x:c r="C13" s="44" t="str">
        <x:v>AT-AUT-001</x:v>
      </x:c>
      <x:c r="D13" s="43" t="str">
        <x:v>Pengguna dapat masuk dengan akun GOJAGS yang aktif</x:v>
      </x:c>
      <x:c r="E13" s="43" t="str">
        <x:v>1. Buka halaman login. 2. Klik Login SSO GOJAGS. 3. Selesaikan autentikasi dengan kredensial valid. 4. Amati halaman tujuan dan identitas pengguna.</x:v>
      </x:c>
      <x:c r="F13" s="43" t="str">
        <x:v>Pengguna masuk ke Dashboard, sesi terbentuk, dan nama serta email akun yang benar ditampilkan.</x:v>
      </x:c>
      <x:c r="G13" s="44" t="str"/>
      <x:c r="H13" s="43" t="str"/>
    </x:row>
    <x:row r="14" ht="60" customHeight="1">
      <x:c r="A14" s="44" t="n">
        <x:v>2</x:v>
      </x:c>
      <x:c r="B14" s="43" t="str">
        <x:v>Autentikasi</x:v>
      </x:c>
      <x:c r="C14" s="44" t="str">
        <x:v>AT-AUT-002</x:v>
      </x:c>
      <x:c r="D14" s="43" t="str">
        <x:v>Login tidak berhasil jika autentikasi gagal atau dibatalkan</x:v>
      </x:c>
      <x:c r="E14" s="43" t="str">
        <x:v>1. Mulai login SSO. 2. Masukkan kredensial tidak valid atau batalkan proses. 3. Kembali ke aplikasi.</x:v>
      </x:c>
      <x:c r="F14" s="43" t="str">
        <x:v>Aplikasi tidak membuat sesi, menampilkan pesan yang dapat dipahami, dan tetap berada pada alur login.</x:v>
      </x:c>
      <x:c r="G14" s="44" t="str"/>
      <x:c r="H14" s="43" t="str"/>
    </x:row>
    <x:row r="15" ht="60" customHeight="1">
      <x:c r="A15" s="44" t="n">
        <x:v>3</x:v>
      </x:c>
      <x:c r="B15" s="43" t="str">
        <x:v>Autentikasi</x:v>
      </x:c>
      <x:c r="C15" s="44" t="str">
        <x:v>AT-AUT-003</x:v>
      </x:c>
      <x:c r="D15" s="43" t="str">
        <x:v>Halaman aplikasi hanya dapat dibuka setelah pengguna berhasil login</x:v>
      </x:c>
      <x:c r="E15" s="43" t="str">
        <x:v>1. Buka URL halaman terlindungi secara langsung. 2. Amati respons aplikasi.</x:v>
      </x:c>
      <x:c r="F15" s="43" t="str">
        <x:v>Pengguna diarahkan ke halaman login dan data aplikasi tidak terlihat.</x:v>
      </x:c>
      <x:c r="G15" s="44" t="str"/>
      <x:c r="H15" s="43" t="str"/>
    </x:row>
    <x:row r="16" ht="60" customHeight="1">
      <x:c r="A16" s="44" t="n">
        <x:v>4</x:v>
      </x:c>
      <x:c r="B16" s="43" t="str">
        <x:v>Autentikasi</x:v>
      </x:c>
      <x:c r="C16" s="44" t="str">
        <x:v>AT-AUT-004</x:v>
      </x:c>
      <x:c r="D16" s="43" t="str">
        <x:v>Pengguna benar-benar keluar dari aplikasi setelah logout</x:v>
      </x:c>
      <x:c r="E16" s="43" t="str">
        <x:v>1. Buka menu profil atau sidebar. 2. Klik Logout dan konfirmasi bila diminta. 3. Gunakan tombol kembali browser atau buka URL terlindungi.</x:v>
      </x:c>
      <x:c r="F16" s="43" t="str">
        <x:v>Sesi berakhir, pengguna kembali ke login, dan halaman terlindungi tidak dapat dibuka dari sesi lama.</x:v>
      </x:c>
      <x:c r="G16" s="44" t="str"/>
      <x:c r="H16" s="43" t="str"/>
    </x:row>
    <x:row r="17" ht="60" customHeight="1">
      <x:c r="A17" s="44" t="n">
        <x:v>5</x:v>
      </x:c>
      <x:c r="B17" s="43" t="str">
        <x:v>Autentikasi</x:v>
      </x:c>
      <x:c r="C17" s="44" t="str">
        <x:v>AT-AUT-005</x:v>
      </x:c>
      <x:c r="D17" s="43" t="str">
        <x:v>Nama, email, dan hak akses sesuai dengan akun yang digunakan</x:v>
      </x:c>
      <x:c r="E17" s="43" t="str">
        <x:v>1. Login sebagai Admin dan catat menu yang terlihat. 2. Logout lalu login sebagai pengguna biasa. 3. Bandingkan identitas, menu, dan aksi yang tersedia.</x:v>
      </x:c>
      <x:c r="F17" s="43" t="str">
        <x:v>Nama/email sesuai akun dan menu serta aksi mengikuti role/permission masing-masing.</x:v>
      </x:c>
      <x:c r="G17" s="44" t="str"/>
      <x:c r="H17" s="43" t="str"/>
    </x:row>
    <x:row r="18" ht="60" customHeight="1">
      <x:c r="A18" s="44" t="n">
        <x:v>6</x:v>
      </x:c>
      <x:c r="B18" s="43" t="str">
        <x:v>Tata Letak Global</x:v>
      </x:c>
      <x:c r="C18" s="44" t="str">
        <x:v>AT-GLB-001</x:v>
      </x:c>
      <x:c r="D18" s="43" t="str">
        <x:v>Menu aktif mudah dikenali pada tampilan desktop</x:v>
      </x:c>
      <x:c r="E18" s="43" t="str">
        <x:v>1. Buka setiap menu utama. 2. Buka submenu Manajemen Risiko. 3. Pilih salah satu submenu.</x:v>
      </x:c>
      <x:c r="F18" s="43" t="str">
        <x:v>Menu aktif ditandai konsisten; ketika submenu aktif, induk Manajemen Risiko juga aktif dan terbuka.</x:v>
      </x:c>
      <x:c r="G18" s="44" t="str"/>
      <x:c r="H18" s="43" t="str"/>
    </x:row>
    <x:row r="19" ht="60" customHeight="1">
      <x:c r="A19" s="44" t="n">
        <x:v>7</x:v>
      </x:c>
      <x:c r="B19" s="43" t="str">
        <x:v>Tata Letak Global</x:v>
      </x:c>
      <x:c r="C19" s="44" t="str">
        <x:v>AT-GLB-002</x:v>
      </x:c>
      <x:c r="D19" s="43" t="str">
        <x:v>Menu hamburger dapat digunakan dengan nyaman pada layar ponsel</x:v>
      </x:c>
      <x:c r="E19" s="43" t="str">
        <x:v>1. Ubah viewport ke ukuran ponsel. 2. Pastikan hamburger berada di kanan header. 3. Buka dan tutup menu. 4. Pilih menu dari drawer.</x:v>
      </x:c>
      <x:c r="F19" s="43" t="str">
        <x:v>Drawer tampil dalam area layar, dapat di-scroll vertikal, tidak memicu scroll horizontal halaman, dan menutup setelah navigasi.</x:v>
      </x:c>
      <x:c r="G19" s="44" t="str"/>
      <x:c r="H19" s="43" t="str"/>
    </x:row>
    <x:row r="20" ht="60" customHeight="1">
      <x:c r="A20" s="44" t="n">
        <x:v>8</x:v>
      </x:c>
      <x:c r="B20" s="43" t="str">
        <x:v>Tata Letak Global</x:v>
      </x:c>
      <x:c r="C20" s="44" t="str">
        <x:v>AT-GLB-003</x:v>
      </x:c>
      <x:c r="D20" s="43" t="str">
        <x:v>Seluruh informasi tetap terbaca pada tema terang dan gelap</x:v>
      </x:c>
      <x:c r="E20" s="43" t="str">
        <x:v>1. Buka beberapa halaman yang memiliki tabel, modal, form, dan badge. 2. Aktifkan tema gelap. 3. Kembali ke tema terang.</x:v>
      </x:c>
      <x:c r="F20" s="43" t="str">
        <x:v>Teks, ikon, input, tabel, modal, badge, garis, dan tombol tetap terbaca pada kedua tema.</x:v>
      </x:c>
      <x:c r="G20" s="44" t="str"/>
      <x:c r="H20" s="43" t="str"/>
    </x:row>
    <x:row r="21" ht="60" customHeight="1">
      <x:c r="A21" s="44" t="n">
        <x:v>9</x:v>
      </x:c>
      <x:c r="B21" s="43" t="str">
        <x:v>Tata Letak Global</x:v>
      </x:c>
      <x:c r="C21" s="44" t="str">
        <x:v>AT-GLB-004</x:v>
      </x:c>
      <x:c r="D21" s="43" t="str">
        <x:v>Data yang tampil mengikuti periode tahun yang dipilih</x:v>
      </x:c>
      <x:c r="E21" s="43" t="str">
        <x:v>1. Catat data pada tahun awal. 2. Ubah Periode Data ke tahun lain. 3. Buka Dashboard dan modul risiko.</x:v>
      </x:c>
      <x:c r="F21" s="43" t="str">
        <x:v>Label periode berubah dan data yang tampil mengikuti rentang tahun yang dipilih tanpa mencampur data di luar periode.</x:v>
      </x:c>
      <x:c r="G21" s="44" t="str"/>
      <x:c r="H21" s="43" t="str"/>
    </x:row>
    <x:row r="22" ht="60" customHeight="1">
      <x:c r="A22" s="44" t="n">
        <x:v>10</x:v>
      </x:c>
      <x:c r="B22" s="43" t="str">
        <x:v>Tata Letak Global</x:v>
      </x:c>
      <x:c r="C22" s="44" t="str">
        <x:v>AT-GLB-005</x:v>
      </x:c>
      <x:c r="D22" s="43" t="str">
        <x:v>Header ponsel tetap rapi dan semua kontrol dapat dijangkau</x:v>
      </x:c>
      <x:c r="E22" s="43" t="str">
        <x:v>1. Amati header saat drawer tertutup. 2. Buka drawer. 3. Periksa akses tema, periode data, profil, panduan, dan logout.</x:v>
      </x:c>
      <x:c r="F22" s="43" t="str">
        <x:v>Header utama tetap sederhana; kontrol sekunder tersedia secara rapi di drawer dan tidak terpotong.</x:v>
      </x:c>
      <x:c r="G22" s="44" t="str"/>
      <x:c r="H22" s="43" t="str"/>
    </x:row>
    <x:row r="23" ht="60" customHeight="1">
      <x:c r="A23" s="44" t="n">
        <x:v>11</x:v>
      </x:c>
      <x:c r="B23" s="43" t="str">
        <x:v>Tata Letak Global</x:v>
      </x:c>
      <x:c r="C23" s="44" t="str">
        <x:v>AT-GLB-006</x:v>
      </x:c>
      <x:c r="D23" s="43" t="str">
        <x:v>Panduan pengguna dapat dibuka dari aplikasi</x:v>
      </x:c>
      <x:c r="E23" s="43" t="str">
        <x:v>1. Buka menu bantuan atau area panduan. 2. Klik Lihat Panduan.</x:v>
      </x:c>
      <x:c r="F23" s="43" t="str">
        <x:v>Dokumen panduan terbuka atau terunduh pada tab/perangkat pengguna tanpa respons kosong.</x:v>
      </x:c>
      <x:c r="G23" s="44" t="str"/>
      <x:c r="H23" s="43" t="str"/>
    </x:row>
    <x:row r="24" ht="60" customHeight="1">
      <x:c r="A24" s="44" t="n">
        <x:v>12</x:v>
      </x:c>
      <x:c r="B24" s="43" t="str">
        <x:v>Dashboard</x:v>
      </x:c>
      <x:c r="C24" s="44" t="str">
        <x:v>AT-DSH-001</x:v>
      </x:c>
      <x:c r="D24" s="43" t="str">
        <x:v>Dashboard menampilkan ringkasan data dengan benar</x:v>
      </x:c>
      <x:c r="E24" s="43" t="str">
        <x:v>1. Buka Dashboard. 2. Tunggu seluruh indikator selesai dimuat. 3. Bandingkan beberapa angka dengan data sumber.</x:v>
      </x:c>
      <x:c r="F24" s="43" t="str">
        <x:v>Kartu statistik, grafik, matriks, dan daftar prioritas tampil tanpa error dan konsisten dengan data sumber.</x:v>
      </x:c>
      <x:c r="G24" s="44" t="str"/>
      <x:c r="H24" s="43" t="str"/>
    </x:row>
    <x:row r="25" ht="60" customHeight="1">
      <x:c r="A25" s="44" t="n">
        <x:v>13</x:v>
      </x:c>
      <x:c r="B25" s="43" t="str">
        <x:v>Dashboard</x:v>
      </x:c>
      <x:c r="C25" s="44" t="str">
        <x:v>AT-DSH-002</x:v>
      </x:c>
      <x:c r="D25" s="43" t="str">
        <x:v>Dashboard tetap informatif saat belum ada data</x:v>
      </x:c>
      <x:c r="E25" s="43" t="str">
        <x:v>1. Ubah periode ke tahun tanpa data. 2. Buka atau muat ulang Dashboard.</x:v>
      </x:c>
      <x:c r="F25" s="43" t="str">
        <x:v>Aplikasi menampilkan nilai nol atau empty state yang jelas, bukan error 500 atau komponen rusak.</x:v>
      </x:c>
      <x:c r="G25" s="44" t="str"/>
      <x:c r="H25" s="43" t="str"/>
    </x:row>
    <x:row r="26" ht="60" customHeight="1">
      <x:c r="A26" s="44" t="n">
        <x:v>14</x:v>
      </x:c>
      <x:c r="B26" s="43" t="str">
        <x:v>Penetapan Konteks</x:v>
      </x:c>
      <x:c r="C26" s="44" t="str">
        <x:v>AT-KON-001</x:v>
      </x:c>
      <x:c r="D26" s="43" t="str">
        <x:v>Seluruh kelompok data dapat dibuka, termasuk pada layar kecil</x:v>
      </x:c>
      <x:c r="E26" s="43" t="str">
        <x:v>1. Buka Penetapan Konteks. 2. Geser pemilih kelompok data pada viewport kecil. 3. Pilih setiap tab.</x:v>
      </x:c>
      <x:c r="F26" s="43" t="str">
        <x:v>Seluruh tab dapat dijangkau, termasuk dengan scroll horizontal khusus area tab, dan isi sesuai tab terpilih.</x:v>
      </x:c>
      <x:c r="G26" s="44" t="str"/>
      <x:c r="H26" s="43" t="str"/>
    </x:row>
    <x:row r="27" ht="60" customHeight="1">
      <x:c r="A27" s="44" t="n">
        <x:v>15</x:v>
      </x:c>
      <x:c r="B27" s="43" t="str">
        <x:v>Penetapan Konteks</x:v>
      </x:c>
      <x:c r="C27" s="44" t="str">
        <x:v>AT-KON-002</x:v>
      </x:c>
      <x:c r="D27" s="43" t="str">
        <x:v>Data referensi baru dapat ditambahkan dan langsung tersedia</x:v>
      </x:c>
      <x:c r="E27" s="43" t="str">
        <x:v>1. Klik Tambah pada salah satu tab. 2. Isi seluruh field wajib. 3. Simpan. 4. Cari data yang baru dibuat.</x:v>
      </x:c>
      <x:c r="F27" s="43" t="str">
        <x:v>Data tersimpan, notifikasi sukses tampil, dan pilihan baru tersedia pada modul terkait.</x:v>
      </x:c>
      <x:c r="G27" s="44" t="str"/>
      <x:c r="H27" s="43" t="str"/>
    </x:row>
    <x:row r="28" ht="60" customHeight="1">
      <x:c r="A28" s="44" t="n">
        <x:v>16</x:v>
      </x:c>
      <x:c r="B28" s="43" t="str">
        <x:v>Penetapan Konteks</x:v>
      </x:c>
      <x:c r="C28" s="44" t="str">
        <x:v>AT-KON-003</x:v>
      </x:c>
      <x:c r="D28" s="43" t="str">
        <x:v>Data referensi tidak dapat disimpan jika informasi wajib belum diisi</x:v>
      </x:c>
      <x:c r="E28" s="43" t="str">
        <x:v>1. Biarkan field wajib kosong. 2. Klik Simpan.</x:v>
      </x:c>
      <x:c r="F28" s="43" t="str">
        <x:v>Data tidak tersimpan dan pesan validasi muncul pada field yang perlu diperbaiki.</x:v>
      </x:c>
      <x:c r="G28" s="44" t="str"/>
      <x:c r="H28" s="43" t="str"/>
    </x:row>
    <x:row r="29" ht="60" customHeight="1">
      <x:c r="A29" s="44" t="n">
        <x:v>17</x:v>
      </x:c>
      <x:c r="B29" s="43" t="str">
        <x:v>Penetapan Konteks</x:v>
      </x:c>
      <x:c r="C29" s="44" t="str">
        <x:v>AT-KON-004</x:v>
      </x:c>
      <x:c r="D29" s="43" t="str">
        <x:v>Perubahan data referensi tetap tersimpan setelah halaman dimuat ulang</x:v>
      </x:c>
      <x:c r="E29" s="43" t="str">
        <x:v>1. Klik Edit pada data uji. 2. Ubah nilai. 3. Simpan. 4. Muat ulang halaman.</x:v>
      </x:c>
      <x:c r="F29" s="43" t="str">
        <x:v>Perubahan tersimpan dan nilai terbaru tampil setelah reload serta pada pilihan modul terkait.</x:v>
      </x:c>
      <x:c r="G29" s="44" t="str"/>
      <x:c r="H29" s="43" t="str"/>
    </x:row>
    <x:row r="30" ht="60" customHeight="1">
      <x:c r="A30" s="44" t="n">
        <x:v>18</x:v>
      </x:c>
      <x:c r="B30" s="43" t="str">
        <x:v>Penetapan Konteks</x:v>
      </x:c>
      <x:c r="C30" s="44" t="str">
        <x:v>AT-KON-005</x:v>
      </x:c>
      <x:c r="D30" s="43" t="str">
        <x:v>Data referensi dapat dihapus jika tidak sedang digunakan</x:v>
      </x:c>
      <x:c r="E30" s="43" t="str">
        <x:v>1. Hapus data bebas relasi dan konfirmasi. 2. Coba hapus data yang masih digunakan.</x:v>
      </x:c>
      <x:c r="F30" s="43" t="str">
        <x:v>Data bebas relasi terhapus; data terpakai ditolak secara aman dengan pesan yang menjelaskan sebabnya.</x:v>
      </x:c>
      <x:c r="G30" s="44" t="str"/>
      <x:c r="H30" s="43" t="str"/>
    </x:row>
    <x:row r="31" ht="60" customHeight="1">
      <x:c r="A31" s="44" t="n">
        <x:v>19</x:v>
      </x:c>
      <x:c r="B31" s="43" t="str">
        <x:v>Identifikasi Risiko</x:v>
      </x:c>
      <x:c r="C31" s="44" t="str">
        <x:v>AT-IDN-001</x:v>
      </x:c>
      <x:c r="D31" s="43" t="str">
        <x:v>Risiko baru dapat ditambahkan dan tersimpan dengan lengkap</x:v>
      </x:c>
      <x:c r="E31" s="43" t="str">
        <x:v>1. Buka Identifikasi Risiko. 2. Tambah baris. 3. Isi seluruh data wajib. 4. Klik Simpan Semua. 5. Muat ulang halaman.</x:v>
      </x:c>
      <x:c r="F31" s="43" t="str">
        <x:v>Risiko tersimpan pada periode yang benar dan seluruh nilai tetap tampil setelah reload.</x:v>
      </x:c>
      <x:c r="G31" s="44" t="str"/>
      <x:c r="H31" s="43" t="str"/>
    </x:row>
    <x:row r="32" ht="60" customHeight="1">
      <x:c r="A32" s="44" t="n">
        <x:v>20</x:v>
      </x:c>
      <x:c r="B32" s="43" t="str">
        <x:v>Identifikasi Risiko</x:v>
      </x:c>
      <x:c r="C32" s="44" t="str">
        <x:v>AT-IDN-002</x:v>
      </x:c>
      <x:c r="D32" s="43" t="str">
        <x:v>Risiko yang belum lengkap tidak dapat disimpan</x:v>
      </x:c>
      <x:c r="E32" s="43" t="str">
        <x:v>1. Tambah baris. 2. Kosongkan satu atau lebih field wajib. 3. Klik Simpan Semua.</x:v>
      </x:c>
      <x:c r="F32" s="43" t="str">
        <x:v>Penyimpanan tidak menghasilkan data tidak lengkap dan field/baris bermasalah diberi pesan yang jelas.</x:v>
      </x:c>
      <x:c r="G32" s="44" t="str"/>
      <x:c r="H32" s="43" t="str"/>
    </x:row>
    <x:row r="33" ht="60" customHeight="1">
      <x:c r="A33" s="44" t="n">
        <x:v>21</x:v>
      </x:c>
      <x:c r="B33" s="43" t="str">
        <x:v>Identifikasi Risiko</x:v>
      </x:c>
      <x:c r="C33" s="44" t="str">
        <x:v>AT-IDN-003</x:v>
      </x:c>
      <x:c r="D33" s="43" t="str">
        <x:v>Data risiko dapat diperbarui dan dihapus dengan aman</x:v>
      </x:c>
      <x:c r="E33" s="43" t="str">
        <x:v>1. Ubah salah satu nilai risiko lalu simpan. 2. Muat ulang dan verifikasi perubahan. 3. Hapus risiko uji dengan konfirmasi.</x:v>
      </x:c>
      <x:c r="F33" s="43" t="str">
        <x:v>Perubahan tersimpan; penghapusan hanya terjadi setelah konfirmasi dan daftar diperbarui.</x:v>
      </x:c>
      <x:c r="G33" s="44" t="str"/>
      <x:c r="H33" s="43" t="str"/>
    </x:row>
    <x:row r="34" ht="60" customHeight="1">
      <x:c r="A34" s="44" t="n">
        <x:v>22</x:v>
      </x:c>
      <x:c r="B34" s="43" t="str">
        <x:v>Identifikasi Risiko</x:v>
      </x:c>
      <x:c r="C34" s="44" t="str">
        <x:v>AT-IDN-004</x:v>
      </x:c>
      <x:c r="D34" s="43" t="str">
        <x:v>Data dari Bank Risiko dapat digunakan sebagai referensi risiko baru</x:v>
      </x:c>
      <x:c r="E34" s="43" t="str">
        <x:v>1. Klik Cari dari Bank Risiko. 2. Masukkan kata kunci. 3. Pilih satu hasil dan tambahkan ke tabel. 4. Simpan Semua.</x:v>
      </x:c>
      <x:c r="F34" s="43" t="str">
        <x:v>Data bank disalin ke baris identifikasi, dapat disesuaikan, dan tersimpan sebagai data periode aktif.</x:v>
      </x:c>
      <x:c r="G34" s="44" t="str"/>
      <x:c r="H34" s="43" t="str"/>
    </x:row>
    <x:row r="35" ht="60" customHeight="1">
      <x:c r="A35" s="44" t="n">
        <x:v>23</x:v>
      </x:c>
      <x:c r="B35" s="43" t="str">
        <x:v>Identifikasi Risiko</x:v>
      </x:c>
      <x:c r="C35" s="44" t="str">
        <x:v>AT-IDN-005</x:v>
      </x:c>
      <x:c r="D35" s="43" t="str">
        <x:v>Template Excel dapat diunduh dan data yang sesuai dapat diimpor</x:v>
      </x:c>
      <x:c r="E35" s="43" t="str">
        <x:v>1. Unduh template import untuk periode aktif. 2. Isi dua baris sesuai format. 3. Import file. 4. Periksa ringkasan hasil dan tabel.</x:v>
      </x:c>
      <x:c r="F35" s="43" t="str">
        <x:v>File diproses, jumlah sukses/gagal jelas, dan baris valid masuk ke tabel tanpa duplikasi tak disengaja.</x:v>
      </x:c>
      <x:c r="G35" s="44" t="str"/>
      <x:c r="H35" s="43" t="str"/>
    </x:row>
    <x:row r="36" ht="60" customHeight="1">
      <x:c r="A36" s="44" t="n">
        <x:v>24</x:v>
      </x:c>
      <x:c r="B36" s="43" t="str">
        <x:v>Identifikasi Risiko</x:v>
      </x:c>
      <x:c r="C36" s="44" t="str">
        <x:v>AT-IDN-006</x:v>
      </x:c>
      <x:c r="D36" s="43" t="str">
        <x:v>File Excel dengan format yang salah ditolak dengan penjelasan yang jelas</x:v>
      </x:c>
      <x:c r="E36" s="43" t="str">
        <x:v>1. Pilih file yang formatnya salah. 2. Jalankan import.</x:v>
      </x:c>
      <x:c r="F36" s="43" t="str">
        <x:v>Import ditolak dengan penjelasan kolom/format yang salah dan data lama tidak berubah.</x:v>
      </x:c>
      <x:c r="G36" s="44" t="str"/>
      <x:c r="H36" s="43" t="str"/>
    </x:row>
    <x:row r="37" ht="60" customHeight="1">
      <x:c r="A37" s="44" t="n">
        <x:v>25</x:v>
      </x:c>
      <x:c r="B37" s="43" t="str">
        <x:v>Analisis Risiko</x:v>
      </x:c>
      <x:c r="C37" s="44" t="str">
        <x:v>AT-ANL-001</x:v>
      </x:c>
      <x:c r="D37" s="43" t="str">
        <x:v>Risiko yang sudah dibuat tersedia pada halaman Analisis Risiko</x:v>
      </x:c>
      <x:c r="E37" s="43" t="str">
        <x:v>1. Buka Analisis Risiko. 2. Cari risiko uji.</x:v>
      </x:c>
      <x:c r="F37" s="43" t="str">
        <x:v>Risiko identifikasi tampil satu kali dan siap diberi penilaian.</x:v>
      </x:c>
      <x:c r="G37" s="44" t="str"/>
      <x:c r="H37" s="43" t="str"/>
    </x:row>
    <x:row r="38" ht="60" customHeight="1">
      <x:c r="A38" s="44" t="n">
        <x:v>26</x:v>
      </x:c>
      <x:c r="B38" s="43" t="str">
        <x:v>Analisis Risiko</x:v>
      </x:c>
      <x:c r="C38" s="44" t="str">
        <x:v>AT-ANL-002</x:v>
      </x:c>
      <x:c r="D38" s="43" t="str">
        <x:v>Penilaian risiko inheren dapat dihitung dan disimpan dengan benar</x:v>
      </x:c>
      <x:c r="E38" s="43" t="str">
        <x:v>1. Isi parameter analisis pada risiko uji. 2. Periksa hasil perhitungan level/warna. 3. Klik Simpan Semua. 4. Muat ulang.</x:v>
      </x:c>
      <x:c r="F38" s="43" t="str">
        <x:v>Nilai dan level risiko inheren dihitung konsisten, tersimpan, dan tetap tampil setelah reload.</x:v>
      </x:c>
      <x:c r="G38" s="44" t="str"/>
      <x:c r="H38" s="43" t="str"/>
    </x:row>
    <x:row r="39" ht="60" customHeight="1">
      <x:c r="A39" s="44" t="n">
        <x:v>27</x:v>
      </x:c>
      <x:c r="B39" s="43" t="str">
        <x:v>Analisis Risiko</x:v>
      </x:c>
      <x:c r="C39" s="44" t="str">
        <x:v>AT-ANL-003</x:v>
      </x:c>
      <x:c r="D39" s="43" t="str">
        <x:v>Nilai analisis yang belum lengkap atau tidak valid tidak dapat disimpan</x:v>
      </x:c>
      <x:c r="E39" s="43" t="str">
        <x:v>1. Kosongkan parameter wajib atau masukkan nilai tidak valid bila dimungkinkan. 2. Klik Simpan Semua.</x:v>
      </x:c>
      <x:c r="F39" s="43" t="str">
        <x:v>Aplikasi menolak nilai tidak valid dan tidak menyimpan hasil analisis yang inkonsisten.</x:v>
      </x:c>
      <x:c r="G39" s="44" t="str"/>
      <x:c r="H39" s="43" t="str"/>
    </x:row>
    <x:row r="40" ht="60" customHeight="1">
      <x:c r="A40" s="44" t="n">
        <x:v>28</x:v>
      </x:c>
      <x:c r="B40" s="43" t="str">
        <x:v>Evaluasi Risiko</x:v>
      </x:c>
      <x:c r="C40" s="44" t="str">
        <x:v>AT-EVL-001</x:v>
      </x:c>
      <x:c r="D40" s="43" t="str">
        <x:v>Penilaian risiko residual dapat dihitung dan disimpan dengan benar</x:v>
      </x:c>
      <x:c r="E40" s="43" t="str">
        <x:v>1. Buka Evaluasi Risiko. 2. Isi kemungkinan dan dampak residual. 3. Periksa level residual. 4. Simpan dan muat ulang.</x:v>
      </x:c>
      <x:c r="F40" s="43" t="str">
        <x:v>Level residual dihitung dan tersimpan pada risiko yang benar.</x:v>
      </x:c>
      <x:c r="G40" s="44" t="str"/>
      <x:c r="H40" s="43" t="str"/>
    </x:row>
    <x:row r="41" ht="60" customHeight="1">
      <x:c r="A41" s="44" t="n">
        <x:v>29</x:v>
      </x:c>
      <x:c r="B41" s="43" t="str">
        <x:v>Evaluasi Risiko</x:v>
      </x:c>
      <x:c r="C41" s="44" t="str">
        <x:v>AT-EVL-002</x:v>
      </x:c>
      <x:c r="D41" s="43" t="str">
        <x:v>Pengguna dapat memilih respons risiko yang sesuai</x:v>
      </x:c>
      <x:c r="E41" s="43" t="str">
        <x:v>1. Pilih setiap opsi respons pada data uji terpisah. 2. Isi field tambahan yang muncul. 3. Simpan Semua.</x:v>
      </x:c>
      <x:c r="F41" s="43" t="str">
        <x:v>Respons tersimpan sesuai pilihan; field kondisional hanya muncul dan diwajibkan ketika relevan.</x:v>
      </x:c>
      <x:c r="G41" s="44" t="str"/>
      <x:c r="H41" s="43" t="str"/>
    </x:row>
    <x:row r="42" ht="60" customHeight="1">
      <x:c r="A42" s="44" t="n">
        <x:v>30</x:v>
      </x:c>
      <x:c r="B42" s="43" t="str">
        <x:v>Evaluasi Risiko</x:v>
      </x:c>
      <x:c r="C42" s="44" t="str">
        <x:v>AT-EVL-003</x:v>
      </x:c>
      <x:c r="D42" s="43" t="str">
        <x:v>Evaluasi risiko yang belum lengkap tidak dianggap selesai</x:v>
      </x:c>
      <x:c r="E42" s="43" t="str">
        <x:v>1. Isi sebagian data evaluasi. 2. Klik Simpan Semua.</x:v>
      </x:c>
      <x:c r="F42" s="43" t="str">
        <x:v>Data tidak lengkap tidak dianggap selesai dan pengguna mendapat petunjuk koreksi.</x:v>
      </x:c>
      <x:c r="G42" s="44" t="str"/>
      <x:c r="H42" s="43" t="str"/>
    </x:row>
    <x:row r="43" ht="60" customHeight="1">
      <x:c r="A43" s="44" t="n">
        <x:v>31</x:v>
      </x:c>
      <x:c r="B43" s="43" t="str">
        <x:v>Rencana Penanganan</x:v>
      </x:c>
      <x:c r="C43" s="44" t="str">
        <x:v>AT-RTP-001</x:v>
      </x:c>
      <x:c r="D43" s="43" t="str">
        <x:v>Hanya risiko yang perlu dikurangi muncul pada Rencana Penanganan</x:v>
      </x:c>
      <x:c r="E43" s="43" t="str">
        <x:v>1. Buka Rencana Penanganan. 2. Bandingkan daftar dengan hasil Evaluasi.</x:v>
      </x:c>
      <x:c r="F43" s="43" t="str">
        <x:v>Risiko dengan respons Mengurangi tampil untuk dibuatkan RTP; risiko dengan respons lain tidak muncul secara keliru.</x:v>
      </x:c>
      <x:c r="G43" s="44" t="str"/>
      <x:c r="H43" s="43" t="str"/>
    </x:row>
    <x:row r="44" ht="60" customHeight="1">
      <x:c r="A44" s="44" t="n">
        <x:v>32</x:v>
      </x:c>
      <x:c r="B44" s="43" t="str">
        <x:v>Rencana Penanganan</x:v>
      </x:c>
      <x:c r="C44" s="44" t="str">
        <x:v>AT-RTP-002</x:v>
      </x:c>
      <x:c r="D44" s="43" t="str">
        <x:v>Rencana penanganan dapat diisi dan disimpan dengan lengkap</x:v>
      </x:c>
      <x:c r="E44" s="43" t="str">
        <x:v>1. Isi data RTP pada risiko uji. 2. Klik Simpan Semua. 3. Muat ulang halaman.</x:v>
      </x:c>
      <x:c r="F44" s="43" t="str">
        <x:v>RTP tersimpan lengkap pada risiko yang benar dan tetap tampil setelah reload.</x:v>
      </x:c>
      <x:c r="G44" s="44" t="str"/>
      <x:c r="H44" s="43" t="str"/>
    </x:row>
    <x:row r="45" ht="60" customHeight="1">
      <x:c r="A45" s="44" t="n">
        <x:v>33</x:v>
      </x:c>
      <x:c r="B45" s="43" t="str">
        <x:v>Rencana Penanganan</x:v>
      </x:c>
      <x:c r="C45" s="44" t="str">
        <x:v>AT-RTP-003</x:v>
      </x:c>
      <x:c r="D45" s="43" t="str">
        <x:v>Rencana penanganan yang belum lengkap atau waktunya tidak valid tidak dapat disimpan</x:v>
      </x:c>
      <x:c r="E45" s="43" t="str">
        <x:v>1. Isi RTP dengan data tidak lengkap atau rentang waktu tidak valid. 2. Klik Simpan Semua.</x:v>
      </x:c>
      <x:c r="F45" s="43" t="str">
        <x:v>Aplikasi menolak data tidak valid dan menunjukkan bagian yang harus diperbaiki.</x:v>
      </x:c>
      <x:c r="G45" s="44" t="str"/>
      <x:c r="H45" s="43" t="str"/>
    </x:row>
    <x:row r="46" ht="60" customHeight="1">
      <x:c r="A46" s="44" t="n">
        <x:v>34</x:v>
      </x:c>
      <x:c r="B46" s="43" t="str">
        <x:v>Matriks Risiko</x:v>
      </x:c>
      <x:c r="C46" s="44" t="str">
        <x:v>AT-MTX-001</x:v>
      </x:c>
      <x:c r="D46" s="43" t="str">
        <x:v>Posisi risiko inheren dan residual tampil dengan benar pada matriks</x:v>
      </x:c>
      <x:c r="E46" s="43" t="str">
        <x:v>1. Buka Matriks Risiko. 2. Pilih risiko uji. 3. Amati posisi dan arah perpindahan.</x:v>
      </x:c>
      <x:c r="F46" s="43" t="str">
        <x:v>Posisi risiko sesuai nilai kemungkinan/dampak; perpindahan inheren ke residual dapat dibedakan dengan jelas.</x:v>
      </x:c>
      <x:c r="G46" s="44" t="str"/>
      <x:c r="H46" s="43" t="str"/>
    </x:row>
    <x:row r="47" ht="60" customHeight="1">
      <x:c r="A47" s="44" t="n">
        <x:v>35</x:v>
      </x:c>
      <x:c r="B47" s="43" t="str">
        <x:v>Matriks Risiko</x:v>
      </x:c>
      <x:c r="C47" s="44" t="str">
        <x:v>AT-MTX-002</x:v>
      </x:c>
      <x:c r="D47" s="43" t="str">
        <x:v>Matriks menampilkan risiko sesuai pilihan dan filter pengguna</x:v>
      </x:c>
      <x:c r="E47" s="43" t="str">
        <x:v>1. Pilih beberapa risiko. 2. Ubah periode atau filter yang tersedia. 3. Kosongkan pilihan.</x:v>
      </x:c>
      <x:c r="F47" s="43" t="str">
        <x:v>Matriks memperbarui isi sesuai pilihan dan memiliki empty state yang jelas ketika tidak ada risiko dipilih.</x:v>
      </x:c>
      <x:c r="G47" s="44" t="str"/>
      <x:c r="H47" s="43" t="str"/>
    </x:row>
    <x:row r="48" ht="60" customHeight="1">
      <x:c r="A48" s="44" t="n">
        <x:v>36</x:v>
      </x:c>
      <x:c r="B48" s="43" t="str">
        <x:v>Pemantauan Risiko</x:v>
      </x:c>
      <x:c r="C48" s="44" t="str">
        <x:v>AT-PMN-001</x:v>
      </x:c>
      <x:c r="D48" s="43" t="str">
        <x:v>Daftar pemantauan berpindah halaman dan mengubah jumlah data dengan benar</x:v>
      </x:c>
      <x:c r="E48" s="43" t="str">
        <x:v>1. Buka Pemantauan Risiko. 2. Klik halaman berikutnya. 3. Ubah jumlah data per halaman. 4. Kembali ke halaman pertama.</x:v>
      </x:c>
      <x:c r="F48" s="43" t="str">
        <x:v>Isi tabel berubah sesuai halaman, nomor urut benar, dan kontrol pagination tidak tertutup tombol bantuan.</x:v>
      </x:c>
      <x:c r="G48" s="44" t="str"/>
      <x:c r="H48" s="43" t="str"/>
    </x:row>
    <x:row r="49" ht="60" customHeight="1">
      <x:c r="A49" s="44" t="n">
        <x:v>37</x:v>
      </x:c>
      <x:c r="B49" s="43" t="str">
        <x:v>Pemantauan Risiko</x:v>
      </x:c>
      <x:c r="C49" s="44" t="str">
        <x:v>AT-PMN-002</x:v>
      </x:c>
      <x:c r="D49" s="43" t="str">
        <x:v>Realisasi penanganan risiko dapat diperbarui dan tersimpan</x:v>
      </x:c>
      <x:c r="E49" s="43" t="str">
        <x:v>1. Klik Update Realisasi pada RTP. 2. Isi data realisasi. 3. Klik Simpan Realisasi. 4. Buka kembali modal.</x:v>
      </x:c>
      <x:c r="F49" s="43" t="str">
        <x:v>Realisasi tersimpan dan nilai terbaru tampil pada tabel serta modal.</x:v>
      </x:c>
      <x:c r="G49" s="44" t="str"/>
      <x:c r="H49" s="43" t="str"/>
    </x:row>
    <x:row r="50" ht="60" customHeight="1">
      <x:c r="A50" s="44" t="n">
        <x:v>38</x:v>
      </x:c>
      <x:c r="B50" s="43" t="str">
        <x:v>Pemantauan Risiko</x:v>
      </x:c>
      <x:c r="C50" s="44" t="str">
        <x:v>AT-PMN-003</x:v>
      </x:c>
      <x:c r="D50" s="43" t="str">
        <x:v>Tautan bukti pendukung dapat ditambahkan pada pemantauan</x:v>
      </x:c>
      <x:c r="E50" s="43" t="str">
        <x:v>1. Klik Tambah Dokumen. 2. Pilih Tautan. 3. Isi judul dan URL. 4. Simpan Realisasi.</x:v>
      </x:c>
      <x:c r="F50" s="43" t="str">
        <x:v>Tautan tersimpan, dapat dibuka, dan tercatat sebagai bukti pendukung RTP.</x:v>
      </x:c>
      <x:c r="G50" s="44" t="str"/>
      <x:c r="H50" s="43" t="str"/>
    </x:row>
    <x:row r="51" ht="60" customHeight="1">
      <x:c r="A51" s="44" t="n">
        <x:v>39</x:v>
      </x:c>
      <x:c r="B51" s="43" t="str">
        <x:v>Pemantauan Risiko</x:v>
      </x:c>
      <x:c r="C51" s="44" t="str">
        <x:v>AT-PMN-004</x:v>
      </x:c>
      <x:c r="D51" s="43" t="str">
        <x:v>File bukti mitigasi dapat diunggah dan tersedia di Repositori Dokumen</x:v>
      </x:c>
      <x:c r="E51" s="43" t="str">
        <x:v>1. Tambah Dokumen pada modal realisasi. 2. Pilih Upload Berkas. 3. Unggah PDF. 4. Simpan Realisasi. 5. Buka Repositori Dokumen kategori Bukti Dukung Mitigasi.</x:v>
      </x:c>
      <x:c r="F51" s="43" t="str">
        <x:v>Berkas berhasil diunggah, dapat dibuka, dan otomatis tersedia di repositori sebagai Bukti Dukung Mitigasi pada tahun risiko yang sesuai.</x:v>
      </x:c>
      <x:c r="G51" s="44" t="str"/>
      <x:c r="H51" s="43" t="str"/>
    </x:row>
    <x:row r="52" ht="60" customHeight="1">
      <x:c r="A52" s="44" t="n">
        <x:v>40</x:v>
      </x:c>
      <x:c r="B52" s="43" t="str">
        <x:v>Pemantauan Risiko</x:v>
      </x:c>
      <x:c r="C52" s="44" t="str">
        <x:v>AT-PMN-005</x:v>
      </x:c>
      <x:c r="D52" s="43" t="str">
        <x:v>File atau tautan bukti yang tidak valid tidak dapat disimpan</x:v>
      </x:c>
      <x:c r="E52" s="43" t="str">
        <x:v>1. Pilih file/URL tidak valid. 2. Coba unggah atau simpan.</x:v>
      </x:c>
      <x:c r="F52" s="43" t="str">
        <x:v>Aplikasi menolak input dengan pesan batas tipe/ukuran/format dan tidak membuat dokumen rusak.</x:v>
      </x:c>
      <x:c r="G52" s="44" t="str"/>
      <x:c r="H52" s="43" t="str"/>
    </x:row>
    <x:row r="53" ht="60" customHeight="1">
      <x:c r="A53" s="44" t="n">
        <x:v>41</x:v>
      </x:c>
      <x:c r="B53" s="43" t="str">
        <x:v>Pelaporan Risiko</x:v>
      </x:c>
      <x:c r="C53" s="44" t="str">
        <x:v>AT-PLP-001</x:v>
      </x:c>
      <x:c r="D53" s="43" t="str">
        <x:v>Laporan menampilkan rangkaian data risiko secara lengkap dan konsisten</x:v>
      </x:c>
      <x:c r="E53" s="43" t="str">
        <x:v>1. Buka Pelaporan Risiko. 2. Cari risiko uji. 3. Bandingkan setiap kolom dengan data sumber.</x:v>
      </x:c>
      <x:c r="F53" s="43" t="str">
        <x:v>Rekap menampilkan data identifikasi, analisis, evaluasi, RTP, realisasi, dokumen, dan persetujuan secara konsisten.</x:v>
      </x:c>
      <x:c r="G53" s="44" t="str"/>
      <x:c r="H53" s="43" t="str"/>
    </x:row>
    <x:row r="54" ht="60" customHeight="1">
      <x:c r="A54" s="44" t="n">
        <x:v>42</x:v>
      </x:c>
      <x:c r="B54" s="43" t="str">
        <x:v>Pelaporan Risiko</x:v>
      </x:c>
      <x:c r="C54" s="44" t="str">
        <x:v>AT-PLP-002</x:v>
      </x:c>
      <x:c r="D54" s="43" t="str">
        <x:v>Status persetujuan dan nama pemberi persetujuan dapat diperbarui</x:v>
      </x:c>
      <x:c r="E54" s="43" t="str">
        <x:v>1. Buka aksi Persetujuan. 2. Pilih status dan isi approver. 3. Simpan. 4. Muat ulang halaman.</x:v>
      </x:c>
      <x:c r="F54" s="43" t="str">
        <x:v>Status dan approver tersimpan, tampil jelas di tabel, dan dapat diperbarui sesuai izin.</x:v>
      </x:c>
      <x:c r="G54" s="44" t="str"/>
      <x:c r="H54" s="43" t="str"/>
    </x:row>
    <x:row r="55" ht="60" customHeight="1">
      <x:c r="A55" s="44" t="n">
        <x:v>43</x:v>
      </x:c>
      <x:c r="B55" s="43" t="str">
        <x:v>Pelaporan Risiko</x:v>
      </x:c>
      <x:c r="C55" s="44" t="str">
        <x:v>AT-PLP-003</x:v>
      </x:c>
      <x:c r="D55" s="43" t="str">
        <x:v>Laporan risiko dapat diunduh dan dibuka dalam format Excel</x:v>
      </x:c>
      <x:c r="E55" s="43" t="str">
        <x:v>1. Klik Unduh Excel. 2. Buka file hasil unduhan. 3. Periksa judul, periode, header, baris, dan dokumen/persetujuan.</x:v>
      </x:c>
      <x:c r="F55" s="43" t="str">
        <x:v>File Excel dapat dibuka, berisi data periode terpilih, dan struktur kolom tidak bergeser atau terpotong.</x:v>
      </x:c>
      <x:c r="G55" s="44" t="str"/>
      <x:c r="H55" s="43" t="str"/>
    </x:row>
    <x:row r="56" ht="60" customHeight="1">
      <x:c r="A56" s="44" t="n">
        <x:v>44</x:v>
      </x:c>
      <x:c r="B56" s="43" t="str">
        <x:v>Pelaporan Risiko</x:v>
      </x:c>
      <x:c r="C56" s="44" t="str">
        <x:v>AT-PLP-004</x:v>
      </x:c>
      <x:c r="D56" s="43" t="str">
        <x:v>Daftar laporan berpindah halaman dan mengubah jumlah data dengan benar</x:v>
      </x:c>
      <x:c r="E56" s="43" t="str">
        <x:v>1. Pindah ke halaman berikutnya. 2. Ubah data per halaman. 3. Periksa nomor urut dan baris terakhir.</x:v>
      </x:c>
      <x:c r="F56" s="43" t="str">
        <x:v>Tabel berganti sesuai halaman, jumlah data benar, dan kontrol dapat digunakan pada desktop maupun mobile.</x:v>
      </x:c>
      <x:c r="G56" s="44" t="str"/>
      <x:c r="H56" s="43" t="str"/>
    </x:row>
    <x:row r="57" ht="60" customHeight="1">
      <x:c r="A57" s="44" t="n">
        <x:v>45</x:v>
      </x:c>
      <x:c r="B57" s="43" t="str">
        <x:v>Bank Risiko</x:v>
      </x:c>
      <x:c r="C57" s="44" t="str">
        <x:v>AT-BNK-001</x:v>
      </x:c>
      <x:c r="D57" s="43" t="str">
        <x:v>Bank Risiko menampilkan referensi yang sesuai dengan kata kunci</x:v>
      </x:c>
      <x:c r="E57" s="43" t="str">
        <x:v>1. Buka Bank Risiko. 2. Masukkan kata kunci. 3. Atur jumlah hasil bila tersedia. 4. Klik Cari.</x:v>
      </x:c>
      <x:c r="F57" s="43" t="str">
        <x:v>Hasil relevan tampil dengan informasi yang cukup untuk dipakai sebagai referensi.</x:v>
      </x:c>
      <x:c r="G57" s="44" t="str"/>
      <x:c r="H57" s="43" t="str"/>
    </x:row>
    <x:row r="58" ht="60" customHeight="1">
      <x:c r="A58" s="44" t="n">
        <x:v>46</x:v>
      </x:c>
      <x:c r="B58" s="43" t="str">
        <x:v>Bank Risiko</x:v>
      </x:c>
      <x:c r="C58" s="44" t="str">
        <x:v>AT-BNK-002</x:v>
      </x:c>
      <x:c r="D58" s="43" t="str">
        <x:v>Pesan yang jelas muncul ketika pencarian Bank Risiko tidak menemukan hasil</x:v>
      </x:c>
      <x:c r="E58" s="43" t="str">
        <x:v>1. Masukkan kata kunci tanpa kecocokan. 2. Klik Cari.</x:v>
      </x:c>
      <x:c r="F58" s="43" t="str">
        <x:v>Empty state menjelaskan bahwa hasil tidak ditemukan dan halaman tetap stabil.</x:v>
      </x:c>
      <x:c r="G58" s="44" t="str"/>
      <x:c r="H58" s="43" t="str"/>
    </x:row>
    <x:row r="59" ht="60" customHeight="1">
      <x:c r="A59" s="44" t="n">
        <x:v>47</x:v>
      </x:c>
      <x:c r="B59" s="43" t="str">
        <x:v>Repositori Dokumen</x:v>
      </x:c>
      <x:c r="C59" s="44" t="str">
        <x:v>AT-REP-001</x:v>
      </x:c>
      <x:c r="D59" s="43" t="str">
        <x:v>Daftar dokumen berubah sesuai kategori yang dipilih</x:v>
      </x:c>
      <x:c r="E59" s="43" t="str">
        <x:v>1. Klik setiap kartu kategori. 2. Periksa daftar dokumen dan penanda kategori aktif.</x:v>
      </x:c>
      <x:c r="F59" s="43" t="str">
        <x:v>Daftar hanya memuat kategori yang dipilih; kategori aktif terlihat jelas pada tema terang dan gelap.</x:v>
      </x:c>
      <x:c r="G59" s="44" t="str"/>
      <x:c r="H59" s="43" t="str"/>
    </x:row>
    <x:row r="60" ht="60" customHeight="1">
      <x:c r="A60" s="44" t="n">
        <x:v>48</x:v>
      </x:c>
      <x:c r="B60" s="43" t="str">
        <x:v>Repositori Dokumen</x:v>
      </x:c>
      <x:c r="C60" s="44" t="str">
        <x:v>AT-REP-002</x:v>
      </x:c>
      <x:c r="D60" s="43" t="str">
        <x:v>Dokumen dapat diunggah ke kategori dan tahun risiko yang sesuai</x:v>
      </x:c>
      <x:c r="E60" s="43" t="str">
        <x:v>1. Klik Upload Dokumen. 2. Isi judul, kategori, dan tahun risiko. 3. Pilih Upload Berkas dan unggah PDF. 4. Simpan Berkas.</x:v>
      </x:c>
      <x:c r="F60" s="43" t="str">
        <x:v>Dokumen tersimpan pada kategori dan tahun yang dipilih, nama uploader benar, dan berkas dapat dibuka.</x:v>
      </x:c>
      <x:c r="G60" s="44" t="str"/>
      <x:c r="H60" s="43" t="str"/>
    </x:row>
    <x:row r="61" ht="60" customHeight="1">
      <x:c r="A61" s="44" t="n">
        <x:v>49</x:v>
      </x:c>
      <x:c r="B61" s="43" t="str">
        <x:v>Repositori Dokumen</x:v>
      </x:c>
      <x:c r="C61" s="44" t="str">
        <x:v>AT-REP-003</x:v>
      </x:c>
      <x:c r="D61" s="43" t="str">
        <x:v>Tautan dokumen dapat ditambahkan dan dibuka dengan aman</x:v>
      </x:c>
      <x:c r="E61" s="43" t="str">
        <x:v>1. Pilih metode Tautan. 2. Isi data valid. 3. Simpan Berkas. 4. Klik Buka pada dokumen baru.</x:v>
      </x:c>
      <x:c r="F61" s="43" t="str">
        <x:v>Dokumen tautan tersimpan dan membuka alamat yang benar secara aman.</x:v>
      </x:c>
      <x:c r="G61" s="44" t="str"/>
      <x:c r="H61" s="43" t="str"/>
    </x:row>
    <x:row r="62" ht="60" customHeight="1">
      <x:c r="A62" s="44" t="n">
        <x:v>50</x:v>
      </x:c>
      <x:c r="B62" s="43" t="str">
        <x:v>Repositori Dokumen</x:v>
      </x:c>
      <x:c r="C62" s="44" t="str">
        <x:v>AT-REP-004</x:v>
      </x:c>
      <x:c r="D62" s="43" t="str">
        <x:v>Dokumen tidak dapat disimpan jika informasi wajib belum lengkap</x:v>
      </x:c>
      <x:c r="E62" s="43" t="str">
        <x:v>1. Coba simpan setiap kombinasi data tidak valid.</x:v>
      </x:c>
      <x:c r="F62" s="43" t="str">
        <x:v>Penyimpanan ditolak dengan pesan spesifik dan tidak membuat record tanpa dokumen.</x:v>
      </x:c>
      <x:c r="G62" s="44" t="str"/>
      <x:c r="H62" s="43" t="str"/>
    </x:row>
    <x:row r="63" ht="60" customHeight="1">
      <x:c r="A63" s="44" t="n">
        <x:v>51</x:v>
      </x:c>
      <x:c r="B63" s="43" t="str">
        <x:v>Repositori Dokumen</x:v>
      </x:c>
      <x:c r="C63" s="44" t="str">
        <x:v>AT-REP-005</x:v>
      </x:c>
      <x:c r="D63" s="43" t="str">
        <x:v>Informasi dokumen dapat diperbarui tanpa kehilangan file</x:v>
      </x:c>
      <x:c r="E63" s="43" t="str">
        <x:v>1. Klik Edit Dokumen. 2. Ubah metadata. 3. Simpan. 4. Filter berdasarkan kategori/tahun baru.</x:v>
      </x:c>
      <x:c r="F63" s="43" t="str">
        <x:v>Perubahan tersimpan dan dokumen berpindah filter sesuai metadata terbaru tanpa kehilangan berkas.</x:v>
      </x:c>
      <x:c r="G63" s="44" t="str"/>
      <x:c r="H63" s="43" t="str"/>
    </x:row>
    <x:row r="64" ht="60" customHeight="1">
      <x:c r="A64" s="44" t="n">
        <x:v>52</x:v>
      </x:c>
      <x:c r="B64" s="43" t="str">
        <x:v>Repositori Dokumen</x:v>
      </x:c>
      <x:c r="C64" s="44" t="str">
        <x:v>AT-REP-006</x:v>
      </x:c>
      <x:c r="D64" s="43" t="str">
        <x:v>Dokumen hanya terhapus setelah pengguna memberikan konfirmasi</x:v>
      </x:c>
      <x:c r="E64" s="43" t="str">
        <x:v>1. Klik Hapus. 2. Batalkan konfirmasi dan pastikan dokumen masih ada. 3. Ulangi lalu konfirmasi hapus.</x:v>
      </x:c>
      <x:c r="F64" s="43" t="str">
        <x:v>Pembatalan tidak mengubah data; konfirmasi menghapus dokumen dan memperbarui daftar.</x:v>
      </x:c>
      <x:c r="G64" s="44" t="str"/>
      <x:c r="H64" s="43" t="str"/>
    </x:row>
    <x:row r="65" ht="60" customHeight="1">
      <x:c r="A65" s="44" t="n">
        <x:v>53</x:v>
      </x:c>
      <x:c r="B65" s="43" t="str">
        <x:v>Repositori Dokumen</x:v>
      </x:c>
      <x:c r="C65" s="44" t="str">
        <x:v>AT-REP-007</x:v>
      </x:c>
      <x:c r="D65" s="43" t="str">
        <x:v>Pencarian cerdas menampilkan dokumen yang sesuai dengan kata kunci dan tahun risiko</x:v>
      </x:c>
      <x:c r="E65" s="43" t="str">
        <x:v>1. Masukkan kata kunci. 2. Pilih tahun risiko. 3. Jalankan/tunggu pencarian. 4. Pilih salah satu hasil.</x:v>
      </x:c>
      <x:c r="F65" s="43" t="str">
        <x:v>Hasil hanya berasal dari tahun terpilih dan alasan rekomendasi untuk dokumen terpilih tampil jelas.</x:v>
      </x:c>
      <x:c r="G65" s="44" t="str"/>
      <x:c r="H65" s="43" t="str"/>
    </x:row>
    <x:row r="66" ht="60" customHeight="1">
      <x:c r="A66" s="44" t="n">
        <x:v>54</x:v>
      </x:c>
      <x:c r="B66" s="43" t="str">
        <x:v>Repositori Dokumen</x:v>
      </x:c>
      <x:c r="C66" s="44" t="str">
        <x:v>AT-REP-008</x:v>
      </x:c>
      <x:c r="D66" s="43" t="str">
        <x:v>Ringkasan dokumen dapat dibuat dan dibuka kembali</x:v>
      </x:c>
      <x:c r="E66" s="43" t="str">
        <x:v>1. Klik Ringkasan pada dokumen. 2. Tunggu proses selesai. 3. Buka kembali ringkasan.</x:v>
      </x:c>
      <x:c r="F66" s="43" t="str">
        <x:v>Ringkasan dari layanan AI tampil terstruktur, relevan dengan isi dokumen, dan tersimpan/dapat diakses kembali tanpa error layanan.</x:v>
      </x:c>
      <x:c r="G66" s="44" t="str"/>
      <x:c r="H66" s="43" t="str"/>
    </x:row>
    <x:row r="67" ht="60" customHeight="1">
      <x:c r="A67" s="44" t="n">
        <x:v>55</x:v>
      </x:c>
      <x:c r="B67" s="43" t="str">
        <x:v>Repositori Dokumen</x:v>
      </x:c>
      <x:c r="C67" s="44" t="str">
        <x:v>AT-REP-009</x:v>
      </x:c>
      <x:c r="D67" s="43" t="str">
        <x:v>Daftar dokumen benar-benar berubah saat pengguna berpindah halaman</x:v>
      </x:c>
      <x:c r="E67" s="43" t="str">
        <x:v>1. Catat daftar pada halaman 1. 2. Klik Next atau halaman 2. 3. Ubah data per halaman. 4. Kembali ke halaman 1.</x:v>
      </x:c>
      <x:c r="F67" s="43" t="str">
        <x:v>Daftar benar-benar berubah, nomor urut melanjutkan halaman, total data akurat, dan bubble bantuan tidak menutupi kontrol.</x:v>
      </x:c>
      <x:c r="G67" s="44" t="str"/>
      <x:c r="H67" s="43" t="str"/>
    </x:row>
    <x:row r="68" ht="60" customHeight="1">
      <x:c r="A68" s="44" t="n">
        <x:v>56</x:v>
      </x:c>
      <x:c r="B68" s="43" t="str">
        <x:v>Repositori Dokumen</x:v>
      </x:c>
      <x:c r="C68" s="44" t="str">
        <x:v>AT-REP-010</x:v>
      </x:c>
      <x:c r="D68" s="43" t="str">
        <x:v>Repositori Dokumen nyaman digunakan pada layar ponsel</x:v>
      </x:c>
      <x:c r="E68" s="43" t="str">
        <x:v>1. Buka repositori pada viewport ponsel. 2. Periksa kategori, pencarian, daftar, pagination, dan panel rekomendasi. 3. Geser tabel jika tampilan tabel digunakan.</x:v>
      </x:c>
      <x:c r="F68" s="43" t="str">
        <x:v>Halaman tidak scroll horizontal; hanya area tabel yang dapat digeser, tidak ada duplikasi tabel/kartu, tombol tidak terpotong, dan panel rekomendasi tersusun vertikal.</x:v>
      </x:c>
      <x:c r="G68" s="44" t="str"/>
      <x:c r="H68" s="43" t="str"/>
    </x:row>
    <x:row r="69" ht="60" customHeight="1">
      <x:c r="A69" s="44" t="n">
        <x:v>57</x:v>
      </x:c>
      <x:c r="B69" s="43" t="str">
        <x:v>FAQ dan Bantuan</x:v>
      </x:c>
      <x:c r="C69" s="44" t="str">
        <x:v>AT-FAQ-001</x:v>
      </x:c>
      <x:c r="D69" s="43" t="str">
        <x:v>Pengguna dapat mencari dan membaca jawaban FAQ</x:v>
      </x:c>
      <x:c r="E69" s="43" t="str">
        <x:v>1. Buka FAQ. 2. Cari dengan kata kunci. 3. Buka jawaban yang relevan.</x:v>
      </x:c>
      <x:c r="F69" s="43" t="str">
        <x:v>Hasil tersaring dan jawaban penggunaan aplikasi dapat dibaca dengan baik.</x:v>
      </x:c>
      <x:c r="G69" s="44" t="str"/>
      <x:c r="H69" s="43" t="str"/>
    </x:row>
    <x:row r="70" ht="60" customHeight="1">
      <x:c r="A70" s="44" t="n">
        <x:v>58</x:v>
      </x:c>
      <x:c r="B70" s="43" t="str">
        <x:v>FAQ dan Bantuan</x:v>
      </x:c>
      <x:c r="C70" s="44" t="str">
        <x:v>AT-FAQ-002</x:v>
      </x:c>
      <x:c r="D70" s="43" t="str">
        <x:v>Admin dapat menambah, mengubah, dan menghapus FAQ</x:v>
      </x:c>
      <x:c r="E70" s="43" t="str">
        <x:v>1. Klik Tambah FAQ dan simpan data valid. 2. Edit jawaban dan urutannya. 3. Hapus FAQ uji dengan konfirmasi.</x:v>
      </x:c>
      <x:c r="F70" s="43" t="str">
        <x:v>Tombol kelola terlihat untuk admin dan seluruh operasi tersimpan di database serta tercermin pada daftar.</x:v>
      </x:c>
      <x:c r="G70" s="44" t="str"/>
      <x:c r="H70" s="43" t="str"/>
    </x:row>
    <x:row r="71" ht="60" customHeight="1">
      <x:c r="A71" s="44" t="n">
        <x:v>59</x:v>
      </x:c>
      <x:c r="B71" s="43" t="str">
        <x:v>FAQ dan Bantuan</x:v>
      </x:c>
      <x:c r="C71" s="44" t="str">
        <x:v>AT-FAQ-003</x:v>
      </x:c>
      <x:c r="D71" s="43" t="str">
        <x:v>Chat bantuan memberikan jawaban yang sesuai dengan FAQ</x:v>
      </x:c>
      <x:c r="E71" s="43" t="str">
        <x:v>1. Buka bubble bantuan. 2. Ketik pertanyaan penggunaan. 3. Kirim dan baca jawaban.</x:v>
      </x:c>
      <x:c r="F71" s="43" t="str">
        <x:v>Chat menampilkan jawaban yang relevan berdasarkan FAQ dan tetap dapat ditutup tanpa menutupi kontrol utama.</x:v>
      </x:c>
      <x:c r="G71" s="44" t="str"/>
      <x:c r="H71" s="43" t="str"/>
    </x:row>
    <x:row r="72" ht="60" customHeight="1">
      <x:c r="A72" s="44" t="n">
        <x:v>60</x:v>
      </x:c>
      <x:c r="B72" s="43" t="str">
        <x:v>Notifikasi</x:v>
      </x:c>
      <x:c r="C72" s="44" t="str">
        <x:v>AT-NTF-001</x:v>
      </x:c>
      <x:c r="D72" s="43" t="str">
        <x:v>Pusat Notifikasi menampilkan pemberitahuan dan tingkat urgensinya</x:v>
      </x:c>
      <x:c r="E72" s="43" t="str">
        <x:v>1. Klik ikon notifikasi atau menu Pusat Notifikasi. 2. Buka satu notifikasi. 3. Kembali ke daftar.</x:v>
      </x:c>
      <x:c r="F72" s="43" t="str">
        <x:v>Daftar dimuat, informasi urgensi jelas, dan tautan membawa pengguna ke konteks data yang benar.</x:v>
      </x:c>
      <x:c r="G72" s="44" t="str"/>
      <x:c r="H72" s="43" t="str"/>
    </x:row>
    <x:row r="73" ht="60" customHeight="1">
      <x:c r="A73" s="44" t="n">
        <x:v>61</x:v>
      </x:c>
      <x:c r="B73" s="43" t="str">
        <x:v>Notifikasi</x:v>
      </x:c>
      <x:c r="C73" s="44" t="str">
        <x:v>AT-NTF-002</x:v>
      </x:c>
      <x:c r="D73" s="43" t="str">
        <x:v>Notifikasi yang sudah dibuka ditandai sebagai telah dibaca</x:v>
      </x:c>
      <x:c r="E73" s="43" t="str">
        <x:v>1. Catat indikator belum dibaca. 2. Buka notifikasi. 3. Muat ulang halaman.</x:v>
      </x:c>
      <x:c r="F73" s="43" t="str">
        <x:v>Status berubah menjadi dibaca dan indikator jumlah diperbarui secara konsisten.</x:v>
      </x:c>
      <x:c r="G73" s="44" t="str"/>
      <x:c r="H73" s="43" t="str"/>
    </x:row>
    <x:row r="74" ht="60" customHeight="1">
      <x:c r="A74" s="44" t="n">
        <x:v>62</x:v>
      </x:c>
      <x:c r="B74" s="43" t="str">
        <x:v>Manajemen Akses</x:v>
      </x:c>
      <x:c r="C74" s="44" t="str">
        <x:v>AT-AKS-001</x:v>
      </x:c>
      <x:c r="D74" s="43" t="str">
        <x:v>Admin dapat melihat menu pengelolaan aplikasi</x:v>
      </x:c>
      <x:c r="E74" s="43" t="str">
        <x:v>1. Buka drawer/sidebar. 2. Perluas Manajemen Akses.</x:v>
      </x:c>
      <x:c r="F74" s="43" t="str">
        <x:v>Menu Pengguna, Role Permissions, Pusat Notifikasi, Audit Log, dan pengelolaan FAQ tampil sesuai kebijakan aplikasi.</x:v>
      </x:c>
      <x:c r="G74" s="44" t="str"/>
      <x:c r="H74" s="43" t="str"/>
    </x:row>
    <x:row r="75" ht="60" customHeight="1">
      <x:c r="A75" s="44" t="n">
        <x:v>63</x:v>
      </x:c>
      <x:c r="B75" s="43" t="str">
        <x:v>Manajemen Akses</x:v>
      </x:c>
      <x:c r="C75" s="44" t="str">
        <x:v>AT-AKS-002</x:v>
      </x:c>
      <x:c r="D75" s="43" t="str">
        <x:v>Admin dapat mengubah role pengguna dan perubahan hak akses berlaku</x:v>
      </x:c>
      <x:c r="E75" s="43" t="str">
        <x:v>1. Buka Pengguna. 2. Pilih pengguna uji. 3. Ubah role dan simpan. 4. Login ulang sebagai pengguna uji.</x:v>
      </x:c>
      <x:c r="F75" s="43" t="str">
        <x:v>Role tersimpan dan hak akses baru berlaku setelah sesi diperbarui.</x:v>
      </x:c>
      <x:c r="G75" s="44" t="str"/>
      <x:c r="H75" s="43" t="str"/>
    </x:row>
    <x:row r="76" ht="60" customHeight="1">
      <x:c r="A76" s="44" t="n">
        <x:v>64</x:v>
      </x:c>
      <x:c r="B76" s="43" t="str">
        <x:v>Manajemen Akses</x:v>
      </x:c>
      <x:c r="C76" s="44" t="str">
        <x:v>AT-AKS-003</x:v>
      </x:c>
      <x:c r="D76" s="43" t="str">
        <x:v>Admin dapat mengatur permission untuk setiap role</x:v>
      </x:c>
      <x:c r="E76" s="43" t="str">
        <x:v>1. Buka Role Permissions. 2. Ubah permission role uji dan simpan. 3. Login sebagai pengguna role tersebut. 4. Buka modul terkait dan coba akses aksi/API.</x:v>
      </x:c>
      <x:c r="F76" s="43" t="str">
        <x:v>Menu/aksi mengikuti permission; permintaan langsung tanpa izin ditolak, bukan hanya tombol yang disembunyikan.</x:v>
      </x:c>
      <x:c r="G76" s="44" t="str"/>
      <x:c r="H76" s="43" t="str"/>
    </x:row>
    <x:row r="77" ht="60" customHeight="1">
      <x:c r="A77" s="44" t="n">
        <x:v>65</x:v>
      </x:c>
      <x:c r="B77" s="43" t="str">
        <x:v>Manajemen Akses</x:v>
      </x:c>
      <x:c r="C77" s="44" t="str">
        <x:v>AT-AKS-004</x:v>
      </x:c>
      <x:c r="D77" s="43" t="str">
        <x:v>Pengguna tanpa izin tidak dapat membuka menu administrasi</x:v>
      </x:c>
      <x:c r="E77" s="43" t="str">
        <x:v>1. Periksa sidebar. 2. Buka URL administrasi secara langsung.</x:v>
      </x:c>
      <x:c r="F77" s="43" t="str">
        <x:v>Menu tidak ditampilkan dan akses langsung ditolak dengan status/pesan yang aman.</x:v>
      </x:c>
      <x:c r="G77" s="44" t="str"/>
      <x:c r="H77" s="43" t="str"/>
    </x:row>
    <x:row r="78" ht="60" customHeight="1">
      <x:c r="A78" s="44" t="n">
        <x:v>66</x:v>
      </x:c>
      <x:c r="B78" s="43" t="str">
        <x:v>Audit Log</x:v>
      </x:c>
      <x:c r="C78" s="44" t="str">
        <x:v>AT-AUD-001</x:v>
      </x:c>
      <x:c r="D78" s="43" t="str">
        <x:v>Perubahan data tercatat dengan informasi yang memadai pada Audit Log</x:v>
      </x:c>
      <x:c r="E78" s="43" t="str">
        <x:v>1. Lakukan perubahan data dan catat waktu serta pengguna. 2. Buka Audit Log. 3. Cari entri terkait. 4. Buka detail.</x:v>
      </x:c>
      <x:c r="F78" s="43" t="str">
        <x:v>Log memuat pelaku, waktu, aksi, resource, dan detail perubahan yang memadai tanpa mengekspos rahasia.</x:v>
      </x:c>
      <x:c r="G78" s="44" t="str"/>
      <x:c r="H78" s="43" t="str"/>
    </x:row>
    <x:row r="79" ht="60" customHeight="1">
      <x:c r="A79" s="44" t="n">
        <x:v>67</x:v>
      </x:c>
      <x:c r="B79" s="43" t="str">
        <x:v>Audit Log</x:v>
      </x:c>
      <x:c r="C79" s="44" t="str">
        <x:v>AT-AUD-002</x:v>
      </x:c>
      <x:c r="D79" s="43" t="str">
        <x:v>Filter dan perpindahan halaman Audit Log bekerja dengan benar</x:v>
      </x:c>
      <x:c r="E79" s="43" t="str">
        <x:v>1. Terapkan filter satu per satu. 2. Gabungkan beberapa filter. 3. Pindah halaman.</x:v>
      </x:c>
      <x:c r="F79" s="43" t="str">
        <x:v>Hasil sesuai filter, total/pagination konsisten, dan detail entri tetap dapat dibuka.</x:v>
      </x:c>
      <x:c r="G79" s="44" t="str"/>
      <x:c r="H79" s="43" t="str"/>
    </x:row>
    <x:row r="80" ht="60" customHeight="1">
      <x:c r="A80" s="44" t="n">
        <x:v>68</x:v>
      </x:c>
      <x:c r="B80" s="43" t="str">
        <x:v>Kualitas Lintas Halaman</x:v>
      </x:c>
      <x:c r="C80" s="44" t="str">
        <x:v>AT-NFR-001</x:v>
      </x:c>
      <x:c r="D80" s="43" t="str">
        <x:v>Aplikasi nyaman digunakan pada ponsel, tablet, dan desktop</x:v>
      </x:c>
      <x:c r="E80" s="43" t="str">
        <x:v>1. Buka setiap menu utama pada seluruh viewport. 2. Periksa judul, tombol, tab, tabel, modal, pagination, dan drawer. 3. Lakukan interaksi utama pada tiap ukuran.</x:v>
      </x:c>
      <x:c r="F80" s="43" t="str">
        <x:v>Tidak ada elemen penting terpotong; halaman tidak scroll horizontal; tabel besar memiliki scroll lokal; seluruh aksi dapat dijangkau.</x:v>
      </x:c>
      <x:c r="G80" s="44" t="str"/>
      <x:c r="H80" s="43" t="str"/>
    </x:row>
    <x:row r="81" ht="60" customHeight="1">
      <x:c r="A81" s="44" t="n">
        <x:v>69</x:v>
      </x:c>
      <x:c r="B81" s="43" t="str">
        <x:v>Kualitas Lintas Halaman</x:v>
      </x:c>
      <x:c r="C81" s="44" t="str">
        <x:v>AT-NFR-002</x:v>
      </x:c>
      <x:c r="D81" s="43" t="str">
        <x:v>Teks, ikon, dan komponen lain mudah dibaca pada semua tema</x:v>
      </x:c>
      <x:c r="E81" s="43" t="str">
        <x:v>1. Periksa teks normal/sekunder, placeholder, badge, border, ikon, grafik, tabel, dan modal pada kedua tema. 2. Fokus pada kolom Risiko Terkait dan status berwarna.</x:v>
      </x:c>
      <x:c r="F81" s="43" t="str">
        <x:v>Semua informasi memiliki kontras memadai dan tidak menyatu dengan latar belakang.</x:v>
      </x:c>
      <x:c r="G81" s="44" t="str"/>
      <x:c r="H81" s="43" t="str"/>
    </x:row>
    <x:row r="82" ht="60" customHeight="1">
      <x:c r="A82" s="44" t="n">
        <x:v>70</x:v>
      </x:c>
      <x:c r="B82" s="43" t="str">
        <x:v>Kualitas Lintas Halaman</x:v>
      </x:c>
      <x:c r="C82" s="44" t="str">
        <x:v>AT-NFR-003</x:v>
      </x:c>
      <x:c r="D82" s="43" t="str">
        <x:v>Aplikasi menampilkan pesan yang jelas ketika jaringan atau server bermasalah</x:v>
      </x:c>
      <x:c r="E82" s="43" t="str">
        <x:v>1. Putus jaringan sebelum membuka halaman. 2. Sambungkan lalu isi form. 3. Putus jaringan saat menyimpan.</x:v>
      </x:c>
      <x:c r="F82" s="43" t="str">
        <x:v>Aplikasi menampilkan error yang dapat dipahami, tidak blank/crash, tidak menunjukkan data berhasil tersimpan secara palsu, dan memungkinkan pengguna mencoba lagi.</x:v>
      </x:c>
      <x:c r="G82" s="44" t="str"/>
      <x:c r="H82" s="43" t="str"/>
    </x:row>
    <x:row r="83" ht="60" customHeight="1">
      <x:c r="A83" s="44" t="n">
        <x:v>71</x:v>
      </x:c>
      <x:c r="B83" s="43" t="str">
        <x:v>Kualitas Lintas Halaman</x:v>
      </x:c>
      <x:c r="C83" s="44" t="str">
        <x:v>AT-NFR-004</x:v>
      </x:c>
      <x:c r="D83" s="43" t="str">
        <x:v>Alur utama aplikasi berjalan tanpa error teknis yang tidak tertangani</x:v>
      </x:c>
      <x:c r="E83" s="43" t="str">
        <x:v>1. Jalankan login sampai pelaporan dan repositori. 2. Amati console browser, network, dan log server.</x:v>
      </x:c>
      <x:c r="F83" s="43" t="str">
        <x:v>Tidak ada unhandled rejection, error 500, hydration error, atau request berulang yang tidak diperlukan pada alur berhasil.</x:v>
      </x:c>
      <x:c r="G83" s="44" t="str"/>
      <x:c r="H83" s="43" t="str"/>
    </x:row>
    <x:row r="84" ht="60" customHeight="1">
      <x:c r="A84" s="44" t="n">
        <x:v>72</x:v>
      </x:c>
      <x:c r="B84" s="43" t="str">
        <x:v>Kualitas Lintas Halaman</x:v>
      </x:c>
      <x:c r="C84" s="44" t="str">
        <x:v>AT-NFR-005</x:v>
      </x:c>
      <x:c r="D84" s="43" t="str">
        <x:v>Input teks dan tautan berbahaya tidak dijalankan oleh aplikasi</x:v>
      </x:c>
      <x:c r="E84" s="43" t="str">
        <x:v>1. Masukkan payload uji pada judul, FAQ, risiko, dan URL. 2. Simpan lalu tampilkan kembali data.</x:v>
      </x:c>
      <x:c r="F84" s="43" t="str">
        <x:v>Input ditampilkan sebagai teks aman atau ditolak; script tidak dijalankan dan tautan berbahaya tidak dapat digunakan.</x:v>
      </x:c>
      <x:c r="G84" s="44" t="str"/>
      <x:c r="H84" s="43" t="str"/>
    </x:row>
    <x:row r="87">
      <x:c r="A87" s="45" t="str">
        <x:v>Sumber skenario: Alpha Testing Black Box gojags risk.docx. Format disederhanakan untuk pengisian oleh tester.</x:v>
      </x:c>
    </x:row>
  </x:sheetData>
  <x:mergeCells>
    <x:mergeCell ref="B5:D5"/>
    <x:mergeCell ref="F5:H5"/>
    <x:mergeCell ref="A7:H7"/>
  </x:mergeCells>
  <x:conditionalFormatting sqref="G13:G84">
    <x:cfRule type="containsText" dxfId="0" priority="1" operator="containsText" text="Berhasil"/>
    <x:cfRule type="containsText" dxfId="1" priority="2" operator="containsText" text="Gagal"/>
  </x:conditionalFormatting>
  <x:dataValidations count="1">
    <x:dataValidation type="list" sqref="G13:G84">
      <x:formula1>"Berhasil,Gagal"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73077252eb42bd"/>
  </x:tableParts>
</x:worksheet>
</file>